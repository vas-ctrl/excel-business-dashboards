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ius\Downloads\Curso 2 - BI com Excel dashboard com Power Query\"/>
    </mc:Choice>
  </mc:AlternateContent>
  <xr:revisionPtr revIDLastSave="0" documentId="13_ncr:1_{9F04A812-F14B-4E25-9C87-9AB52EB4D7E4}" xr6:coauthVersionLast="47" xr6:coauthVersionMax="47" xr10:uidLastSave="{00000000-0000-0000-0000-000000000000}"/>
  <bookViews>
    <workbookView xWindow="-108" yWindow="-108" windowWidth="23256" windowHeight="12456" activeTab="1" xr2:uid="{14E39E78-10EE-49EF-AFE6-E4DC2746F2DE}"/>
  </bookViews>
  <sheets>
    <sheet name="Vendas" sheetId="6" r:id="rId1"/>
    <sheet name="Base" sheetId="4" r:id="rId2"/>
    <sheet name="FaturamentoAnual" sheetId="9" r:id="rId3"/>
    <sheet name="VendasFiltradasPorAno" sheetId="8" r:id="rId4"/>
    <sheet name="Base com consulta" sheetId="7" r:id="rId5"/>
    <sheet name="Dashboard" sheetId="5" r:id="rId6"/>
  </sheets>
  <definedNames>
    <definedName name="DadosExternos_1" localSheetId="0" hidden="1">Vendas!$A$1:$G$338</definedName>
    <definedName name="DadosExternos_1" localSheetId="3" hidden="1">VendasFiltradasPorAno!$A$1:$C$13</definedName>
    <definedName name="DadosExternos_2" localSheetId="2" hidden="1">FaturamentoAnual!$A$1:$B$3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E3" i="4"/>
  <c r="E2" i="4"/>
  <c r="D2" i="4" a="1"/>
  <c r="D2" i="4" s="1"/>
  <c r="H4" i="4"/>
  <c r="H5" i="4"/>
  <c r="H6" i="4"/>
  <c r="H7" i="4"/>
  <c r="H8" i="4"/>
  <c r="H9" i="4"/>
  <c r="H10" i="4"/>
  <c r="H11" i="4"/>
  <c r="H12" i="4"/>
  <c r="H13" i="4"/>
  <c r="H14" i="4"/>
  <c r="H3" i="4"/>
  <c r="B1" i="4"/>
  <c r="I13" i="4" s="1"/>
  <c r="I10" i="4" l="1"/>
  <c r="I6" i="4"/>
  <c r="I11" i="4"/>
  <c r="I9" i="4"/>
  <c r="I8" i="4"/>
  <c r="I5" i="4"/>
  <c r="I7" i="4"/>
  <c r="I12" i="4"/>
  <c r="I4" i="4"/>
  <c r="I3" i="4"/>
  <c r="I14" i="4"/>
  <c r="B3" i="4"/>
  <c r="P2" i="5" s="1"/>
  <c r="B5" i="4" l="1"/>
  <c r="B7" i="4" l="1"/>
  <c r="AR2" i="5" s="1"/>
  <c r="AD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DBF74E-3EB0-4181-97BF-89034C31310A}" keepAlive="1" name="Consulta - AnoDash" description="Conexão com a consulta 'AnoDash' na pasta de trabalho." type="5" refreshedVersion="8" background="1" saveData="1">
    <dbPr connection="Provider=Microsoft.Mashup.OleDb.1;Data Source=$Workbook$;Location=AnoDash;Extended Properties=&quot;&quot;" command="SELECT * FROM [AnoDash]"/>
  </connection>
  <connection id="2" xr16:uid="{2D4EA2A8-0DA8-4678-8A8C-51F0D27ECA58}" keepAlive="1" name="Consulta - FaturamentoAnual" description="Conexão com a consulta 'FaturamentoAnual' na pasta de trabalho." type="5" refreshedVersion="8" background="1" saveData="1">
    <dbPr connection="Provider=Microsoft.Mashup.OleDb.1;Data Source=$Workbook$;Location=FaturamentoAnual;Extended Properties=&quot;&quot;" command="SELECT * FROM [FaturamentoAnual]"/>
  </connection>
  <connection id="3" xr16:uid="{EC128021-5581-487D-B913-FBB9FF694907}" keepAlive="1" name="Consulta - Vendas" description="Conexão com a consulta 'Vendas' na pasta de trabalho." type="5" refreshedVersion="8" background="1" saveData="1">
    <dbPr connection="Provider=Microsoft.Mashup.OleDb.1;Data Source=$Workbook$;Location=Vendas;Extended Properties=&quot;&quot;" command="SELECT * FROM [Venda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<sst xmlns="http://schemas.openxmlformats.org/spreadsheetml/2006/main" count="376" uniqueCount="42">
  <si>
    <t>Ano</t>
  </si>
  <si>
    <t>Mês</t>
  </si>
  <si>
    <t>Faturamento Total</t>
  </si>
  <si>
    <t>Maior Faturamento</t>
  </si>
  <si>
    <t>Faturamento Anual</t>
  </si>
  <si>
    <t>Faturamento Mensal</t>
  </si>
  <si>
    <t>N. Mês</t>
  </si>
  <si>
    <t>Faturamento</t>
  </si>
  <si>
    <t>Maior Mês</t>
  </si>
  <si>
    <t xml:space="preserve">Maior Faturamento </t>
  </si>
  <si>
    <t xml:space="preserve">Mês maior Faturamento </t>
  </si>
  <si>
    <t>Data</t>
  </si>
  <si>
    <t>ID Produto</t>
  </si>
  <si>
    <t>Quantidade</t>
  </si>
  <si>
    <t>Preço</t>
  </si>
  <si>
    <t>Nome do 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</si>
  <si>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</si>
  <si>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</si>
  <si>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</si>
  <si>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</si>
  <si>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</si>
  <si>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</si>
  <si>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</si>
  <si>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</si>
  <si>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</si>
  <si>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</si>
  <si>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</si>
  <si>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</si>
  <si>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Vendas.Mês</t>
  </si>
  <si>
    <t>Vendas.Nome do Mês.1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</si>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</sst>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_-[$R$-416]\ * #,##0.00_-;\-[$R$-416]\ * #,##0.00_-;_-[$R$-416]\ * &quot;-&quot;??_-;_-@_-"/>
    <numFmt numFmtId="166" formatCode="mmm"/>
    <numFmt numFmtId="167" formatCode="&quot;R$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Barlow"/>
    </font>
    <font>
      <b/>
      <sz val="14"/>
      <color rgb="FFB39563"/>
      <name val="Barlow"/>
    </font>
    <font>
      <b/>
      <sz val="11"/>
      <name val="Barlow"/>
    </font>
    <font>
      <sz val="8"/>
      <name val="Calibri"/>
      <family val="2"/>
      <scheme val="minor"/>
    </font>
    <font>
      <b/>
      <sz val="24"/>
      <color rgb="FFB395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thick">
        <color rgb="FF787674"/>
      </left>
      <right/>
      <top style="thick">
        <color rgb="FF787674"/>
      </top>
      <bottom/>
      <diagonal/>
    </border>
    <border>
      <left/>
      <right/>
      <top style="thick">
        <color rgb="FF787674"/>
      </top>
      <bottom/>
      <diagonal/>
    </border>
    <border>
      <left/>
      <right style="thick">
        <color rgb="FF787674"/>
      </right>
      <top style="thick">
        <color rgb="FF787674"/>
      </top>
      <bottom/>
      <diagonal/>
    </border>
    <border>
      <left style="thick">
        <color rgb="FF787674"/>
      </left>
      <right/>
      <top/>
      <bottom/>
      <diagonal/>
    </border>
    <border>
      <left/>
      <right style="thick">
        <color rgb="FF787674"/>
      </right>
      <top/>
      <bottom/>
      <diagonal/>
    </border>
    <border>
      <left style="thick">
        <color rgb="FF787674"/>
      </left>
      <right/>
      <top/>
      <bottom style="thick">
        <color rgb="FF787674"/>
      </bottom>
      <diagonal/>
    </border>
    <border>
      <left/>
      <right/>
      <top/>
      <bottom style="thick">
        <color rgb="FF787674"/>
      </bottom>
      <diagonal/>
    </border>
    <border>
      <left/>
      <right style="thick">
        <color rgb="FF787674"/>
      </right>
      <top/>
      <bottom style="thick">
        <color rgb="FF78767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/>
    <xf numFmtId="165" fontId="0" fillId="0" borderId="13" xfId="0" applyNumberFormat="1" applyBorder="1"/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3" borderId="9" xfId="0" applyFont="1" applyFill="1" applyBorder="1"/>
    <xf numFmtId="165" fontId="1" fillId="0" borderId="17" xfId="0" applyNumberFormat="1" applyFont="1" applyBorder="1"/>
    <xf numFmtId="0" fontId="0" fillId="0" borderId="18" xfId="0" applyBorder="1"/>
    <xf numFmtId="0" fontId="0" fillId="0" borderId="19" xfId="0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4" fontId="0" fillId="0" borderId="21" xfId="0" applyNumberFormat="1" applyBorder="1"/>
    <xf numFmtId="0" fontId="0" fillId="0" borderId="22" xfId="0" applyBorder="1" applyAlignment="1">
      <alignment horizontal="center"/>
    </xf>
    <xf numFmtId="165" fontId="1" fillId="0" borderId="9" xfId="0" applyNumberFormat="1" applyFont="1" applyBorder="1"/>
    <xf numFmtId="2" fontId="1" fillId="0" borderId="9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/>
    </xf>
    <xf numFmtId="167" fontId="6" fillId="0" borderId="2" xfId="0" applyNumberFormat="1" applyFont="1" applyBorder="1" applyAlignment="1">
      <alignment horizontal="center"/>
    </xf>
    <xf numFmtId="167" fontId="6" fillId="0" borderId="3" xfId="0" applyNumberFormat="1" applyFont="1" applyBorder="1" applyAlignment="1">
      <alignment horizontal="center"/>
    </xf>
    <xf numFmtId="167" fontId="6" fillId="0" borderId="4" xfId="0" applyNumberFormat="1" applyFont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167" fontId="6" fillId="0" borderId="5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12">
    <dxf>
      <numFmt numFmtId="165" formatCode="_-[$R$-416]\ * #,##0.00_-;\-[$R$-416]\ * #,##0.00_-;_-[$R$-416]\ * &quot;-&quot;??_-;_-@_-"/>
    </dxf>
    <dxf>
      <numFmt numFmtId="0" formatCode="General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13829"/>
      <color rgb="FFB39563"/>
      <color rgb="FF787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494887525562373E-2"/>
          <c:y val="0.14035087719298245"/>
          <c:w val="0.95501022494887522"/>
          <c:h val="0.65526315789473688"/>
        </c:manualLayout>
      </c:layout>
      <c:lineChart>
        <c:grouping val="standard"/>
        <c:varyColors val="0"/>
        <c:ser>
          <c:idx val="0"/>
          <c:order val="0"/>
          <c:tx>
            <c:strRef>
              <c:f>VendasFiltradasPorAno!$C$1</c:f>
              <c:strCache>
                <c:ptCount val="1"/>
                <c:pt idx="0">
                  <c:v>Faturamento</c:v>
                </c:pt>
              </c:strCache>
            </c:strRef>
          </c:tx>
          <c:spPr>
            <a:ln w="28575" cap="rnd">
              <a:solidFill>
                <a:srgbClr val="B39563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B39563"/>
              </a:solidFill>
              <a:ln w="9525">
                <a:solidFill>
                  <a:srgbClr val="B3956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4.3559670781893003E-2"/>
                  <c:y val="0.10122813405549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3F-4AD8-AAFA-79BE5F61930C}"/>
                </c:ext>
              </c:extLst>
            </c:dLbl>
            <c:dLbl>
              <c:idx val="3"/>
              <c:layout>
                <c:manualLayout>
                  <c:x val="-4.76748971193416E-2"/>
                  <c:y val="0.101228134055497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3F-4AD8-AAFA-79BE5F61930C}"/>
                </c:ext>
              </c:extLst>
            </c:dLbl>
            <c:dLbl>
              <c:idx val="5"/>
              <c:layout>
                <c:manualLayout>
                  <c:x val="-4.9732510288065919E-2"/>
                  <c:y val="0.110862045423512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3F-4AD8-AAFA-79BE5F61930C}"/>
                </c:ext>
              </c:extLst>
            </c:dLbl>
            <c:dLbl>
              <c:idx val="7"/>
              <c:layout>
                <c:manualLayout>
                  <c:x val="-4.7674897119341565E-2"/>
                  <c:y val="9.15942226874819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3F-4AD8-AAFA-79BE5F61930C}"/>
                </c:ext>
              </c:extLst>
            </c:dLbl>
            <c:dLbl>
              <c:idx val="9"/>
              <c:layout>
                <c:manualLayout>
                  <c:x val="-4.3559670781893003E-2"/>
                  <c:y val="0.10122813405549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3F-4AD8-AAFA-79BE5F61930C}"/>
                </c:ext>
              </c:extLst>
            </c:dLbl>
            <c:dLbl>
              <c:idx val="11"/>
              <c:layout>
                <c:manualLayout>
                  <c:x val="-2.3871391076115484E-2"/>
                  <c:y val="9.15942226874819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A3F-4AD8-AAFA-79BE5F61930C}"/>
                </c:ext>
              </c:extLst>
            </c:dLbl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1382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VendasFiltradasPorAno!$B$2:$B$13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VendasFiltradasPorAno!$C$2:$C$13</c:f>
              <c:numCache>
                <c:formatCode>_-[$R$-416]\ * #,##0.00_-;\-[$R$-416]\ * #,##0.00_-;_-[$R$-416]\ * "-"??_-;_-@_-</c:formatCode>
                <c:ptCount val="12"/>
                <c:pt idx="0">
                  <c:v>784.5</c:v>
                </c:pt>
                <c:pt idx="1">
                  <c:v>667</c:v>
                </c:pt>
                <c:pt idx="2">
                  <c:v>664</c:v>
                </c:pt>
                <c:pt idx="3">
                  <c:v>531.5</c:v>
                </c:pt>
                <c:pt idx="4">
                  <c:v>712.5</c:v>
                </c:pt>
                <c:pt idx="5">
                  <c:v>762.5</c:v>
                </c:pt>
                <c:pt idx="6">
                  <c:v>624.5</c:v>
                </c:pt>
                <c:pt idx="7">
                  <c:v>651</c:v>
                </c:pt>
                <c:pt idx="8">
                  <c:v>529</c:v>
                </c:pt>
                <c:pt idx="9">
                  <c:v>691</c:v>
                </c:pt>
                <c:pt idx="10">
                  <c:v>611.5</c:v>
                </c:pt>
                <c:pt idx="11">
                  <c:v>836.5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F-4AD8-AAFA-79BE5F619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583167"/>
        <c:axId val="1320580767"/>
      </c:lineChart>
      <c:catAx>
        <c:axId val="132058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13829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13829"/>
                </a:solidFill>
                <a:latin typeface="Barlow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320580767"/>
        <c:crosses val="autoZero"/>
        <c:auto val="1"/>
        <c:lblAlgn val="ctr"/>
        <c:lblOffset val="100"/>
        <c:noMultiLvlLbl val="0"/>
      </c:catAx>
      <c:valAx>
        <c:axId val="1320580767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32058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3956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E1-4326-83A2-4FD80C055E38}"/>
              </c:ext>
            </c:extLst>
          </c:dPt>
          <c:dPt>
            <c:idx val="1"/>
            <c:bubble3D val="0"/>
            <c:spPr>
              <a:solidFill>
                <a:srgbClr val="31382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E1-4326-83A2-4FD80C055E38}"/>
              </c:ext>
            </c:extLst>
          </c:dPt>
          <c:dLbls>
            <c:dLbl>
              <c:idx val="0"/>
              <c:layout>
                <c:manualLayout>
                  <c:x val="0.15046296296296297"/>
                  <c:y val="2.996254681647933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3443287037037036"/>
                      <c:h val="0.269326137603586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9E1-4326-83A2-4FD80C055E38}"/>
                </c:ext>
              </c:extLst>
            </c:dLbl>
            <c:dLbl>
              <c:idx val="1"/>
              <c:layout>
                <c:manualLayout>
                  <c:x val="-0.14467615376202975"/>
                  <c:y val="-0.142321507564363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5758101851851845"/>
                      <c:h val="0.269326137603586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9E1-4326-83A2-4FD80C055E38}"/>
                </c:ext>
              </c:extLst>
            </c:dLbl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1382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FaturamentoAnual!$A$2:$A$3</c:f>
              <c:numCache>
                <c:formatCode>General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FaturamentoAnual!$B$2:$B$3</c:f>
              <c:numCache>
                <c:formatCode>_-[$R$-416]\ * #,##0.00_-;\-[$R$-416]\ * #,##0.00_-;_-[$R$-416]\ * "-"??_-;_-@_-</c:formatCode>
                <c:ptCount val="2"/>
                <c:pt idx="0">
                  <c:v>8065.5</c:v>
                </c:pt>
                <c:pt idx="1">
                  <c:v>3681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E1-4326-83A2-4FD80C055E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</xdr:colOff>
      <xdr:row>1</xdr:row>
      <xdr:rowOff>5715</xdr:rowOff>
    </xdr:from>
    <xdr:to>
      <xdr:col>14</xdr:col>
      <xdr:colOff>55360</xdr:colOff>
      <xdr:row>6</xdr:row>
      <xdr:rowOff>22733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240397-8F1D-4304-96B9-F8A2D9546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" y="120015"/>
          <a:ext cx="2225155" cy="588518"/>
        </a:xfrm>
        <a:prstGeom prst="rect">
          <a:avLst/>
        </a:prstGeom>
      </xdr:spPr>
    </xdr:pic>
    <xdr:clientData/>
  </xdr:twoCellAnchor>
  <xdr:twoCellAnchor>
    <xdr:from>
      <xdr:col>16</xdr:col>
      <xdr:colOff>22860</xdr:colOff>
      <xdr:row>13</xdr:row>
      <xdr:rowOff>38100</xdr:rowOff>
    </xdr:from>
    <xdr:to>
      <xdr:col>54</xdr:col>
      <xdr:colOff>114300</xdr:colOff>
      <xdr:row>24</xdr:row>
      <xdr:rowOff>99060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F23617D7-9880-6472-2003-E66314AB3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22860</xdr:colOff>
      <xdr:row>10</xdr:row>
      <xdr:rowOff>11430</xdr:rowOff>
    </xdr:from>
    <xdr:to>
      <xdr:col>14</xdr:col>
      <xdr:colOff>137160</xdr:colOff>
      <xdr:row>24</xdr:row>
      <xdr:rowOff>106680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AD61B172-A734-A32F-EDDA-4763BBBD0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59A11F84-1FBF-4F87-AA72-433E2A9D46AB}" autoFormatId="16" applyNumberFormats="0" applyBorderFormats="0" applyFontFormats="0" applyPatternFormats="0" applyAlignmentFormats="0" applyWidthHeightFormats="0">
  <queryTableRefresh nextId="11">
    <queryTableFields count="7">
      <queryTableField id="1" name="Data" tableColumnId="1"/>
      <queryTableField id="5" name="Ano" tableColumnId="5"/>
      <queryTableField id="6" name="Mês" tableColumnId="6"/>
      <queryTableField id="7" name="Nome do Mês" tableColumnId="7"/>
      <queryTableField id="2" name="ID Produto" tableColumnId="2"/>
      <queryTableField id="3" name="Quantidade" tableColumnId="3"/>
      <queryTableField id="4" name="Preç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E9449C15-7E6E-4B2F-92F0-60792084CF57}" autoFormatId="16" applyNumberFormats="0" applyBorderFormats="0" applyFontFormats="0" applyPatternFormats="0" applyAlignmentFormats="0" applyWidthHeightFormats="0">
  <queryTableRefresh nextId="3">
    <queryTableFields count="2">
      <queryTableField id="1" name="Ano" tableColumnId="1"/>
      <queryTableField id="2" name="Faturament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A42A652-72F6-47E1-A280-5559B1F0BCBD}" autoFormatId="16" applyNumberFormats="0" applyBorderFormats="0" applyFontFormats="0" applyPatternFormats="0" applyAlignmentFormats="0" applyWidthHeightFormats="0">
  <queryTableRefresh nextId="12">
    <queryTableFields count="3">
      <queryTableField id="4" name="Vendas.Mês" tableColumnId="4"/>
      <queryTableField id="10" name="Vendas.Nome do Mês.1" tableColumnId="10"/>
      <queryTableField id="9" name="Faturament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0001C7-9FFF-4EF4-922D-E8EB74B5C545}" name="Vendas" displayName="Vendas" ref="A1:G338" tableType="queryTable" totalsRowShown="0" headerRowDxfId="11" dataDxfId="10">
  <autoFilter ref="A1:G338" xr:uid="{6D0001C7-9FFF-4EF4-922D-E8EB74B5C5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A5EBA59-44A9-47B5-8E4F-08B040589604}" uniqueName="1" name="Data" queryTableFieldId="1" dataDxfId="9"/>
    <tableColumn id="5" xr3:uid="{81E743D4-B7C9-4A97-A8E0-117505331461}" uniqueName="5" name="Ano" queryTableFieldId="5" dataDxfId="8"/>
    <tableColumn id="6" xr3:uid="{9B3D7AB8-63D3-4150-8ECE-B1C222EDA988}" uniqueName="6" name="Mês" queryTableFieldId="6" dataDxfId="7"/>
    <tableColumn id="7" xr3:uid="{745B5403-D4B1-446F-AF21-61BA9948609B}" uniqueName="7" name="Nome do Mês" queryTableFieldId="7" dataDxfId="6"/>
    <tableColumn id="2" xr3:uid="{78E8F281-836E-4A19-8250-1AA58B933005}" uniqueName="2" name="ID Produto" queryTableFieldId="2" dataDxfId="5"/>
    <tableColumn id="3" xr3:uid="{F68B96F3-266E-41CF-A2A3-CBDFA47C6058}" uniqueName="3" name="Quantidade" queryTableFieldId="3" dataDxfId="4"/>
    <tableColumn id="4" xr3:uid="{1996C490-DAA4-4842-851D-6B86AACDE411}" uniqueName="4" name="Preço" queryTableFieldId="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57102F-317C-4BCC-ACF4-CB8CB86D34AF}" name="FaturamentoAnual" displayName="FaturamentoAnual" ref="A1:B3" tableType="queryTable" totalsRowShown="0">
  <autoFilter ref="A1:B3" xr:uid="{B757102F-317C-4BCC-ACF4-CB8CB86D34AF}"/>
  <tableColumns count="2">
    <tableColumn id="1" xr3:uid="{F7752599-BE9B-4ED4-8AC4-E419B1EF4EAB}" uniqueName="1" name="Ano" queryTableFieldId="1"/>
    <tableColumn id="2" xr3:uid="{32D0367C-E8D9-4EB7-B7B7-D908ECE7D850}" uniqueName="2" name="Faturamento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13B2FA-F063-4736-8B8B-2B467EAA83CD}" name="AnoDash_1" displayName="AnoDash_1" ref="A1:C13" tableType="queryTable" totalsRowShown="0">
  <autoFilter ref="A1:C13" xr:uid="{6313B2FA-F063-4736-8B8B-2B467EAA83CD}"/>
  <tableColumns count="3">
    <tableColumn id="4" xr3:uid="{82003D76-3313-4481-ADEA-DB486A3B577F}" uniqueName="4" name="Vendas.Mês" queryTableFieldId="4"/>
    <tableColumn id="10" xr3:uid="{E3435A6A-4547-4E67-812F-E5A209136F59}" uniqueName="10" name="Vendas.Nome do Mês.1" queryTableFieldId="10" dataDxfId="1"/>
    <tableColumn id="9" xr3:uid="{15EDA295-7410-45B8-BA0A-5072E680DAF5}" uniqueName="9" name="Faturamento" queryTableFieldId="9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388801-7889-4BAD-AB71-8FB39C90A9F4}" name="AnoDash" displayName="AnoDash" ref="A1:A2" totalsRowShown="0">
  <autoFilter ref="A1:A2" xr:uid="{E2388801-7889-4BAD-AB71-8FB39C90A9F4}"/>
  <tableColumns count="1">
    <tableColumn id="1" xr3:uid="{CD9A0EBE-A3D0-4E44-BF0A-41BAA1EA2BF8}" name="Ano">
      <calculatedColumnFormula>Dashboard!Q11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4AAC-4020-4554-A955-D46DE24136A1}">
  <dimension ref="A1:G338"/>
  <sheetViews>
    <sheetView workbookViewId="0">
      <selection sqref="A1:G338"/>
    </sheetView>
  </sheetViews>
  <sheetFormatPr defaultRowHeight="14.4" x14ac:dyDescent="0.3"/>
  <cols>
    <col min="1" max="1" width="10.5546875" style="23" bestFit="1" customWidth="1"/>
    <col min="2" max="2" width="6.6640625" style="23" bestFit="1" customWidth="1"/>
    <col min="3" max="3" width="6.77734375" style="23" bestFit="1" customWidth="1"/>
    <col min="4" max="4" width="15" style="23" bestFit="1" customWidth="1"/>
    <col min="5" max="5" width="12.33203125" style="23" bestFit="1" customWidth="1"/>
    <col min="6" max="6" width="13.109375" style="23" bestFit="1" customWidth="1"/>
    <col min="7" max="7" width="8" style="23" customWidth="1"/>
    <col min="8" max="16384" width="8.88671875" style="23"/>
  </cols>
  <sheetData>
    <row r="1" spans="1:7" x14ac:dyDescent="0.3">
      <c r="A1" s="23" t="s">
        <v>11</v>
      </c>
      <c r="B1" s="23" t="s">
        <v>0</v>
      </c>
      <c r="C1" s="23" t="s">
        <v>1</v>
      </c>
      <c r="D1" s="23" t="s">
        <v>15</v>
      </c>
      <c r="E1" s="23" t="s">
        <v>12</v>
      </c>
      <c r="F1" s="23" t="s">
        <v>13</v>
      </c>
      <c r="G1" s="23" t="s">
        <v>14</v>
      </c>
    </row>
    <row r="2" spans="1:7" x14ac:dyDescent="0.3">
      <c r="A2" s="24">
        <v>44564</v>
      </c>
      <c r="B2" s="23">
        <v>2022</v>
      </c>
      <c r="C2" s="23">
        <v>1</v>
      </c>
      <c r="D2" s="23" t="s">
        <v>16</v>
      </c>
      <c r="E2" s="23">
        <v>510</v>
      </c>
      <c r="F2" s="23">
        <v>5</v>
      </c>
      <c r="G2" s="23">
        <v>30</v>
      </c>
    </row>
    <row r="3" spans="1:7" x14ac:dyDescent="0.3">
      <c r="A3" s="24">
        <v>44564</v>
      </c>
      <c r="B3" s="23">
        <v>2022</v>
      </c>
      <c r="C3" s="23">
        <v>1</v>
      </c>
      <c r="D3" s="23" t="s">
        <v>16</v>
      </c>
      <c r="E3" s="23">
        <v>516</v>
      </c>
      <c r="F3" s="23">
        <v>4</v>
      </c>
      <c r="G3" s="23">
        <v>18</v>
      </c>
    </row>
    <row r="4" spans="1:7" x14ac:dyDescent="0.3">
      <c r="A4" s="24">
        <v>44565</v>
      </c>
      <c r="B4" s="23">
        <v>2022</v>
      </c>
      <c r="C4" s="23">
        <v>1</v>
      </c>
      <c r="D4" s="23" t="s">
        <v>16</v>
      </c>
      <c r="E4" s="23">
        <v>510</v>
      </c>
      <c r="F4" s="23">
        <v>7</v>
      </c>
      <c r="G4" s="23">
        <v>42</v>
      </c>
    </row>
    <row r="5" spans="1:7" x14ac:dyDescent="0.3">
      <c r="A5" s="24">
        <v>44565</v>
      </c>
      <c r="B5" s="23">
        <v>2022</v>
      </c>
      <c r="C5" s="23">
        <v>1</v>
      </c>
      <c r="D5" s="23" t="s">
        <v>16</v>
      </c>
      <c r="E5" s="23">
        <v>514</v>
      </c>
      <c r="F5" s="23">
        <v>10</v>
      </c>
      <c r="G5" s="23">
        <v>65</v>
      </c>
    </row>
    <row r="6" spans="1:7" x14ac:dyDescent="0.3">
      <c r="A6" s="24">
        <v>44566</v>
      </c>
      <c r="B6" s="23">
        <v>2022</v>
      </c>
      <c r="C6" s="23">
        <v>1</v>
      </c>
      <c r="D6" s="23" t="s">
        <v>16</v>
      </c>
      <c r="E6" s="23">
        <v>548</v>
      </c>
      <c r="F6" s="23">
        <v>3</v>
      </c>
      <c r="G6" s="23">
        <v>6</v>
      </c>
    </row>
    <row r="7" spans="1:7" x14ac:dyDescent="0.3">
      <c r="A7" s="24">
        <v>44566</v>
      </c>
      <c r="B7" s="23">
        <v>2022</v>
      </c>
      <c r="C7" s="23">
        <v>1</v>
      </c>
      <c r="D7" s="23" t="s">
        <v>16</v>
      </c>
      <c r="E7" s="23">
        <v>510</v>
      </c>
      <c r="F7" s="23">
        <v>3</v>
      </c>
      <c r="G7" s="23">
        <v>18</v>
      </c>
    </row>
    <row r="8" spans="1:7" x14ac:dyDescent="0.3">
      <c r="A8" s="24">
        <v>44567</v>
      </c>
      <c r="B8" s="23">
        <v>2022</v>
      </c>
      <c r="C8" s="23">
        <v>1</v>
      </c>
      <c r="D8" s="23" t="s">
        <v>16</v>
      </c>
      <c r="E8" s="23">
        <v>530</v>
      </c>
      <c r="F8" s="23">
        <v>3</v>
      </c>
      <c r="G8" s="23">
        <v>25.5</v>
      </c>
    </row>
    <row r="9" spans="1:7" x14ac:dyDescent="0.3">
      <c r="A9" s="24">
        <v>44567</v>
      </c>
      <c r="B9" s="23">
        <v>2022</v>
      </c>
      <c r="C9" s="23">
        <v>1</v>
      </c>
      <c r="D9" s="23" t="s">
        <v>16</v>
      </c>
      <c r="E9" s="23">
        <v>540</v>
      </c>
      <c r="F9" s="23">
        <v>5</v>
      </c>
      <c r="G9" s="23">
        <v>37.5</v>
      </c>
    </row>
    <row r="10" spans="1:7" x14ac:dyDescent="0.3">
      <c r="A10" s="24">
        <v>44568</v>
      </c>
      <c r="B10" s="23">
        <v>2022</v>
      </c>
      <c r="C10" s="23">
        <v>1</v>
      </c>
      <c r="D10" s="23" t="s">
        <v>16</v>
      </c>
      <c r="E10" s="23">
        <v>524</v>
      </c>
      <c r="F10" s="23">
        <v>6</v>
      </c>
      <c r="G10" s="23">
        <v>12</v>
      </c>
    </row>
    <row r="11" spans="1:7" x14ac:dyDescent="0.3">
      <c r="A11" s="24">
        <v>44568</v>
      </c>
      <c r="B11" s="23">
        <v>2022</v>
      </c>
      <c r="C11" s="23">
        <v>1</v>
      </c>
      <c r="D11" s="23" t="s">
        <v>16</v>
      </c>
      <c r="E11" s="23">
        <v>562</v>
      </c>
      <c r="F11" s="23">
        <v>2</v>
      </c>
      <c r="G11" s="23">
        <v>10</v>
      </c>
    </row>
    <row r="12" spans="1:7" x14ac:dyDescent="0.3">
      <c r="A12" s="24">
        <v>44571</v>
      </c>
      <c r="B12" s="23">
        <v>2022</v>
      </c>
      <c r="C12" s="23">
        <v>1</v>
      </c>
      <c r="D12" s="23" t="s">
        <v>16</v>
      </c>
      <c r="E12" s="23">
        <v>560</v>
      </c>
      <c r="F12" s="23">
        <v>2</v>
      </c>
      <c r="G12" s="23">
        <v>16</v>
      </c>
    </row>
    <row r="13" spans="1:7" x14ac:dyDescent="0.3">
      <c r="A13" s="24">
        <v>44571</v>
      </c>
      <c r="B13" s="23">
        <v>2022</v>
      </c>
      <c r="C13" s="23">
        <v>1</v>
      </c>
      <c r="D13" s="23" t="s">
        <v>16</v>
      </c>
      <c r="E13" s="23">
        <v>542</v>
      </c>
      <c r="F13" s="23">
        <v>2</v>
      </c>
      <c r="G13" s="23">
        <v>20</v>
      </c>
    </row>
    <row r="14" spans="1:7" x14ac:dyDescent="0.3">
      <c r="A14" s="24">
        <v>44573</v>
      </c>
      <c r="B14" s="23">
        <v>2022</v>
      </c>
      <c r="C14" s="23">
        <v>1</v>
      </c>
      <c r="D14" s="23" t="s">
        <v>16</v>
      </c>
      <c r="E14" s="23">
        <v>510</v>
      </c>
      <c r="F14" s="23">
        <v>3</v>
      </c>
      <c r="G14" s="23">
        <v>18</v>
      </c>
    </row>
    <row r="15" spans="1:7" x14ac:dyDescent="0.3">
      <c r="A15" s="24">
        <v>44573</v>
      </c>
      <c r="B15" s="23">
        <v>2022</v>
      </c>
      <c r="C15" s="23">
        <v>1</v>
      </c>
      <c r="D15" s="23" t="s">
        <v>16</v>
      </c>
      <c r="E15" s="23">
        <v>510</v>
      </c>
      <c r="F15" s="23">
        <v>5</v>
      </c>
      <c r="G15" s="23">
        <v>30</v>
      </c>
    </row>
    <row r="16" spans="1:7" x14ac:dyDescent="0.3">
      <c r="A16" s="24">
        <v>44575</v>
      </c>
      <c r="B16" s="23">
        <v>2022</v>
      </c>
      <c r="C16" s="23">
        <v>1</v>
      </c>
      <c r="D16" s="23" t="s">
        <v>16</v>
      </c>
      <c r="E16" s="23">
        <v>518</v>
      </c>
      <c r="F16" s="23">
        <v>4</v>
      </c>
      <c r="G16" s="23">
        <v>16</v>
      </c>
    </row>
    <row r="17" spans="1:7" x14ac:dyDescent="0.3">
      <c r="A17" s="24">
        <v>44575</v>
      </c>
      <c r="B17" s="23">
        <v>2022</v>
      </c>
      <c r="C17" s="23">
        <v>1</v>
      </c>
      <c r="D17" s="23" t="s">
        <v>16</v>
      </c>
      <c r="E17" s="23">
        <v>560</v>
      </c>
      <c r="F17" s="23">
        <v>4</v>
      </c>
      <c r="G17" s="23">
        <v>32</v>
      </c>
    </row>
    <row r="18" spans="1:7" x14ac:dyDescent="0.3">
      <c r="A18" s="24">
        <v>44578</v>
      </c>
      <c r="B18" s="23">
        <v>2022</v>
      </c>
      <c r="C18" s="23">
        <v>1</v>
      </c>
      <c r="D18" s="23" t="s">
        <v>16</v>
      </c>
      <c r="E18" s="23">
        <v>510</v>
      </c>
      <c r="F18" s="23">
        <v>2</v>
      </c>
      <c r="G18" s="23">
        <v>12</v>
      </c>
    </row>
    <row r="19" spans="1:7" x14ac:dyDescent="0.3">
      <c r="A19" s="24">
        <v>44578</v>
      </c>
      <c r="B19" s="23">
        <v>2022</v>
      </c>
      <c r="C19" s="23">
        <v>1</v>
      </c>
      <c r="D19" s="23" t="s">
        <v>16</v>
      </c>
      <c r="E19" s="23">
        <v>580</v>
      </c>
      <c r="F19" s="23">
        <v>5</v>
      </c>
      <c r="G19" s="23">
        <v>40</v>
      </c>
    </row>
    <row r="20" spans="1:7" x14ac:dyDescent="0.3">
      <c r="A20" s="24">
        <v>44580</v>
      </c>
      <c r="B20" s="23">
        <v>2022</v>
      </c>
      <c r="C20" s="23">
        <v>1</v>
      </c>
      <c r="D20" s="23" t="s">
        <v>16</v>
      </c>
      <c r="E20" s="23">
        <v>578</v>
      </c>
      <c r="F20" s="23">
        <v>1</v>
      </c>
      <c r="G20" s="23">
        <v>15.5</v>
      </c>
    </row>
    <row r="21" spans="1:7" x14ac:dyDescent="0.3">
      <c r="A21" s="24">
        <v>44580</v>
      </c>
      <c r="B21" s="23">
        <v>2022</v>
      </c>
      <c r="C21" s="23">
        <v>1</v>
      </c>
      <c r="D21" s="23" t="s">
        <v>16</v>
      </c>
      <c r="E21" s="23">
        <v>510</v>
      </c>
      <c r="F21" s="23">
        <v>7</v>
      </c>
      <c r="G21" s="23">
        <v>42</v>
      </c>
    </row>
    <row r="22" spans="1:7" x14ac:dyDescent="0.3">
      <c r="A22" s="24">
        <v>44582</v>
      </c>
      <c r="B22" s="23">
        <v>2022</v>
      </c>
      <c r="C22" s="23">
        <v>1</v>
      </c>
      <c r="D22" s="23" t="s">
        <v>16</v>
      </c>
      <c r="E22" s="23">
        <v>530</v>
      </c>
      <c r="F22" s="23">
        <v>2</v>
      </c>
      <c r="G22" s="23">
        <v>17</v>
      </c>
    </row>
    <row r="23" spans="1:7" x14ac:dyDescent="0.3">
      <c r="A23" s="24">
        <v>44582</v>
      </c>
      <c r="B23" s="23">
        <v>2022</v>
      </c>
      <c r="C23" s="23">
        <v>1</v>
      </c>
      <c r="D23" s="23" t="s">
        <v>16</v>
      </c>
      <c r="E23" s="23">
        <v>540</v>
      </c>
      <c r="F23" s="23">
        <v>10</v>
      </c>
      <c r="G23" s="23">
        <v>75</v>
      </c>
    </row>
    <row r="24" spans="1:7" x14ac:dyDescent="0.3">
      <c r="A24" s="24">
        <v>44585</v>
      </c>
      <c r="B24" s="23">
        <v>2022</v>
      </c>
      <c r="C24" s="23">
        <v>1</v>
      </c>
      <c r="D24" s="23" t="s">
        <v>16</v>
      </c>
      <c r="E24" s="23">
        <v>536</v>
      </c>
      <c r="F24" s="23">
        <v>3</v>
      </c>
      <c r="G24" s="23">
        <v>15</v>
      </c>
    </row>
    <row r="25" spans="1:7" x14ac:dyDescent="0.3">
      <c r="A25" s="24">
        <v>44585</v>
      </c>
      <c r="B25" s="23">
        <v>2022</v>
      </c>
      <c r="C25" s="23">
        <v>1</v>
      </c>
      <c r="D25" s="23" t="s">
        <v>16</v>
      </c>
      <c r="E25" s="23">
        <v>580</v>
      </c>
      <c r="F25" s="23">
        <v>4</v>
      </c>
      <c r="G25" s="23">
        <v>32</v>
      </c>
    </row>
    <row r="26" spans="1:7" x14ac:dyDescent="0.3">
      <c r="A26" s="24">
        <v>44587</v>
      </c>
      <c r="B26" s="23">
        <v>2022</v>
      </c>
      <c r="C26" s="23">
        <v>1</v>
      </c>
      <c r="D26" s="23" t="s">
        <v>16</v>
      </c>
      <c r="E26" s="23">
        <v>520</v>
      </c>
      <c r="F26" s="23">
        <v>4</v>
      </c>
      <c r="G26" s="23">
        <v>16</v>
      </c>
    </row>
    <row r="27" spans="1:7" x14ac:dyDescent="0.3">
      <c r="A27" s="24">
        <v>44587</v>
      </c>
      <c r="B27" s="23">
        <v>2022</v>
      </c>
      <c r="C27" s="23">
        <v>1</v>
      </c>
      <c r="D27" s="23" t="s">
        <v>16</v>
      </c>
      <c r="E27" s="23">
        <v>548</v>
      </c>
      <c r="F27" s="23">
        <v>2</v>
      </c>
      <c r="G27" s="23">
        <v>4</v>
      </c>
    </row>
    <row r="28" spans="1:7" x14ac:dyDescent="0.3">
      <c r="A28" s="24">
        <v>44589</v>
      </c>
      <c r="B28" s="23">
        <v>2022</v>
      </c>
      <c r="C28" s="23">
        <v>1</v>
      </c>
      <c r="D28" s="23" t="s">
        <v>16</v>
      </c>
      <c r="E28" s="23">
        <v>522</v>
      </c>
      <c r="F28" s="23">
        <v>5</v>
      </c>
      <c r="G28" s="23">
        <v>20</v>
      </c>
    </row>
    <row r="29" spans="1:7" x14ac:dyDescent="0.3">
      <c r="A29" s="24">
        <v>44589</v>
      </c>
      <c r="B29" s="23">
        <v>2022</v>
      </c>
      <c r="C29" s="23">
        <v>1</v>
      </c>
      <c r="D29" s="23" t="s">
        <v>16</v>
      </c>
      <c r="E29" s="23">
        <v>510</v>
      </c>
      <c r="F29" s="23">
        <v>5</v>
      </c>
      <c r="G29" s="23">
        <v>30</v>
      </c>
    </row>
    <row r="30" spans="1:7" x14ac:dyDescent="0.3">
      <c r="A30" s="24">
        <v>44592</v>
      </c>
      <c r="B30" s="23">
        <v>2022</v>
      </c>
      <c r="C30" s="23">
        <v>1</v>
      </c>
      <c r="D30" s="23" t="s">
        <v>16</v>
      </c>
      <c r="E30" s="23">
        <v>580</v>
      </c>
      <c r="F30" s="23">
        <v>5</v>
      </c>
      <c r="G30" s="23">
        <v>40</v>
      </c>
    </row>
    <row r="31" spans="1:7" x14ac:dyDescent="0.3">
      <c r="A31" s="24">
        <v>44592</v>
      </c>
      <c r="B31" s="23">
        <v>2022</v>
      </c>
      <c r="C31" s="23">
        <v>1</v>
      </c>
      <c r="D31" s="23" t="s">
        <v>16</v>
      </c>
      <c r="E31" s="23">
        <v>510</v>
      </c>
      <c r="F31" s="23">
        <v>5</v>
      </c>
      <c r="G31" s="23">
        <v>30</v>
      </c>
    </row>
    <row r="32" spans="1:7" x14ac:dyDescent="0.3">
      <c r="A32" s="24">
        <v>44599</v>
      </c>
      <c r="B32" s="23">
        <v>2022</v>
      </c>
      <c r="C32" s="23">
        <v>2</v>
      </c>
      <c r="D32" s="23" t="s">
        <v>17</v>
      </c>
      <c r="E32" s="23">
        <v>532</v>
      </c>
      <c r="F32" s="23">
        <v>2</v>
      </c>
      <c r="G32" s="23">
        <v>20</v>
      </c>
    </row>
    <row r="33" spans="1:7" x14ac:dyDescent="0.3">
      <c r="A33" s="24">
        <v>44599</v>
      </c>
      <c r="B33" s="23">
        <v>2022</v>
      </c>
      <c r="C33" s="23">
        <v>2</v>
      </c>
      <c r="D33" s="23" t="s">
        <v>17</v>
      </c>
      <c r="E33" s="23">
        <v>544</v>
      </c>
      <c r="F33" s="23">
        <v>3</v>
      </c>
      <c r="G33" s="23">
        <v>36</v>
      </c>
    </row>
    <row r="34" spans="1:7" x14ac:dyDescent="0.3">
      <c r="A34" s="24">
        <v>44599</v>
      </c>
      <c r="B34" s="23">
        <v>2022</v>
      </c>
      <c r="C34" s="23">
        <v>2</v>
      </c>
      <c r="D34" s="23" t="s">
        <v>17</v>
      </c>
      <c r="E34" s="23">
        <v>514</v>
      </c>
      <c r="F34" s="23">
        <v>11</v>
      </c>
      <c r="G34" s="23">
        <v>71.5</v>
      </c>
    </row>
    <row r="35" spans="1:7" x14ac:dyDescent="0.3">
      <c r="A35" s="24">
        <v>44599</v>
      </c>
      <c r="B35" s="23">
        <v>2022</v>
      </c>
      <c r="C35" s="23">
        <v>2</v>
      </c>
      <c r="D35" s="23" t="s">
        <v>17</v>
      </c>
      <c r="E35" s="23">
        <v>548</v>
      </c>
      <c r="F35" s="23">
        <v>10</v>
      </c>
      <c r="G35" s="23">
        <v>20</v>
      </c>
    </row>
    <row r="36" spans="1:7" x14ac:dyDescent="0.3">
      <c r="A36" s="24">
        <v>44600</v>
      </c>
      <c r="B36" s="23">
        <v>2022</v>
      </c>
      <c r="C36" s="23">
        <v>2</v>
      </c>
      <c r="D36" s="23" t="s">
        <v>17</v>
      </c>
      <c r="E36" s="23">
        <v>536</v>
      </c>
      <c r="F36" s="23">
        <v>5</v>
      </c>
      <c r="G36" s="23">
        <v>25</v>
      </c>
    </row>
    <row r="37" spans="1:7" x14ac:dyDescent="0.3">
      <c r="A37" s="24">
        <v>44600</v>
      </c>
      <c r="B37" s="23">
        <v>2022</v>
      </c>
      <c r="C37" s="23">
        <v>2</v>
      </c>
      <c r="D37" s="23" t="s">
        <v>17</v>
      </c>
      <c r="E37" s="23">
        <v>542</v>
      </c>
      <c r="F37" s="23">
        <v>3</v>
      </c>
      <c r="G37" s="23">
        <v>30</v>
      </c>
    </row>
    <row r="38" spans="1:7" x14ac:dyDescent="0.3">
      <c r="A38" s="24">
        <v>44601</v>
      </c>
      <c r="B38" s="23">
        <v>2022</v>
      </c>
      <c r="C38" s="23">
        <v>2</v>
      </c>
      <c r="D38" s="23" t="s">
        <v>17</v>
      </c>
      <c r="E38" s="23">
        <v>514</v>
      </c>
      <c r="F38" s="23">
        <v>12</v>
      </c>
      <c r="G38" s="23">
        <v>78</v>
      </c>
    </row>
    <row r="39" spans="1:7" x14ac:dyDescent="0.3">
      <c r="A39" s="24">
        <v>44601</v>
      </c>
      <c r="B39" s="23">
        <v>2022</v>
      </c>
      <c r="C39" s="23">
        <v>2</v>
      </c>
      <c r="D39" s="23" t="s">
        <v>17</v>
      </c>
      <c r="E39" s="23">
        <v>548</v>
      </c>
      <c r="F39" s="23">
        <v>10</v>
      </c>
      <c r="G39" s="23">
        <v>20</v>
      </c>
    </row>
    <row r="40" spans="1:7" x14ac:dyDescent="0.3">
      <c r="A40" s="24">
        <v>44602</v>
      </c>
      <c r="B40" s="23">
        <v>2022</v>
      </c>
      <c r="C40" s="23">
        <v>2</v>
      </c>
      <c r="D40" s="23" t="s">
        <v>17</v>
      </c>
      <c r="E40" s="23">
        <v>540</v>
      </c>
      <c r="F40" s="23">
        <v>5</v>
      </c>
      <c r="G40" s="23">
        <v>37.5</v>
      </c>
    </row>
    <row r="41" spans="1:7" x14ac:dyDescent="0.3">
      <c r="A41" s="24">
        <v>44602</v>
      </c>
      <c r="B41" s="23">
        <v>2022</v>
      </c>
      <c r="C41" s="23">
        <v>2</v>
      </c>
      <c r="D41" s="23" t="s">
        <v>17</v>
      </c>
      <c r="E41" s="23">
        <v>560</v>
      </c>
      <c r="F41" s="23">
        <v>5</v>
      </c>
      <c r="G41" s="23">
        <v>40</v>
      </c>
    </row>
    <row r="42" spans="1:7" x14ac:dyDescent="0.3">
      <c r="A42" s="24">
        <v>44603</v>
      </c>
      <c r="B42" s="23">
        <v>2022</v>
      </c>
      <c r="C42" s="23">
        <v>2</v>
      </c>
      <c r="D42" s="23" t="s">
        <v>17</v>
      </c>
      <c r="E42" s="23">
        <v>516</v>
      </c>
      <c r="F42" s="23">
        <v>7</v>
      </c>
      <c r="G42" s="23">
        <v>31.5</v>
      </c>
    </row>
    <row r="43" spans="1:7" x14ac:dyDescent="0.3">
      <c r="A43" s="24">
        <v>44603</v>
      </c>
      <c r="B43" s="23">
        <v>2022</v>
      </c>
      <c r="C43" s="23">
        <v>2</v>
      </c>
      <c r="D43" s="23" t="s">
        <v>17</v>
      </c>
      <c r="E43" s="23">
        <v>530</v>
      </c>
      <c r="F43" s="23">
        <v>5</v>
      </c>
      <c r="G43" s="23">
        <v>42.5</v>
      </c>
    </row>
    <row r="44" spans="1:7" x14ac:dyDescent="0.3">
      <c r="A44" s="24">
        <v>44613</v>
      </c>
      <c r="B44" s="23">
        <v>2022</v>
      </c>
      <c r="C44" s="23">
        <v>2</v>
      </c>
      <c r="D44" s="23" t="s">
        <v>17</v>
      </c>
      <c r="E44" s="23">
        <v>518</v>
      </c>
      <c r="F44" s="23">
        <v>4</v>
      </c>
      <c r="G44" s="23">
        <v>16</v>
      </c>
    </row>
    <row r="45" spans="1:7" x14ac:dyDescent="0.3">
      <c r="A45" s="24">
        <v>44613</v>
      </c>
      <c r="B45" s="23">
        <v>2022</v>
      </c>
      <c r="C45" s="23">
        <v>2</v>
      </c>
      <c r="D45" s="23" t="s">
        <v>17</v>
      </c>
      <c r="E45" s="23">
        <v>524</v>
      </c>
      <c r="F45" s="23">
        <v>3</v>
      </c>
      <c r="G45" s="23">
        <v>6</v>
      </c>
    </row>
    <row r="46" spans="1:7" x14ac:dyDescent="0.3">
      <c r="A46" s="24">
        <v>44615</v>
      </c>
      <c r="B46" s="23">
        <v>2022</v>
      </c>
      <c r="C46" s="23">
        <v>2</v>
      </c>
      <c r="D46" s="23" t="s">
        <v>17</v>
      </c>
      <c r="E46" s="23">
        <v>520</v>
      </c>
      <c r="F46" s="23">
        <v>6</v>
      </c>
      <c r="G46" s="23">
        <v>24</v>
      </c>
    </row>
    <row r="47" spans="1:7" x14ac:dyDescent="0.3">
      <c r="A47" s="24">
        <v>44615</v>
      </c>
      <c r="B47" s="23">
        <v>2022</v>
      </c>
      <c r="C47" s="23">
        <v>2</v>
      </c>
      <c r="D47" s="23" t="s">
        <v>17</v>
      </c>
      <c r="E47" s="23">
        <v>580</v>
      </c>
      <c r="F47" s="23">
        <v>6</v>
      </c>
      <c r="G47" s="23">
        <v>48</v>
      </c>
    </row>
    <row r="48" spans="1:7" x14ac:dyDescent="0.3">
      <c r="A48" s="24">
        <v>44616</v>
      </c>
      <c r="B48" s="23">
        <v>2022</v>
      </c>
      <c r="C48" s="23">
        <v>2</v>
      </c>
      <c r="D48" s="23" t="s">
        <v>17</v>
      </c>
      <c r="E48" s="23">
        <v>522</v>
      </c>
      <c r="F48" s="23">
        <v>6</v>
      </c>
      <c r="G48" s="23">
        <v>24</v>
      </c>
    </row>
    <row r="49" spans="1:7" x14ac:dyDescent="0.3">
      <c r="A49" s="24">
        <v>44616</v>
      </c>
      <c r="B49" s="23">
        <v>2022</v>
      </c>
      <c r="C49" s="23">
        <v>2</v>
      </c>
      <c r="D49" s="23" t="s">
        <v>17</v>
      </c>
      <c r="E49" s="23">
        <v>510</v>
      </c>
      <c r="F49" s="23">
        <v>6</v>
      </c>
      <c r="G49" s="23">
        <v>36</v>
      </c>
    </row>
    <row r="50" spans="1:7" x14ac:dyDescent="0.3">
      <c r="A50" s="24">
        <v>44617</v>
      </c>
      <c r="B50" s="23">
        <v>2022</v>
      </c>
      <c r="C50" s="23">
        <v>2</v>
      </c>
      <c r="D50" s="23" t="s">
        <v>17</v>
      </c>
      <c r="E50" s="23">
        <v>562</v>
      </c>
      <c r="F50" s="23">
        <v>5</v>
      </c>
      <c r="G50" s="23">
        <v>25</v>
      </c>
    </row>
    <row r="51" spans="1:7" x14ac:dyDescent="0.3">
      <c r="A51" s="24">
        <v>44617</v>
      </c>
      <c r="B51" s="23">
        <v>2022</v>
      </c>
      <c r="C51" s="23">
        <v>2</v>
      </c>
      <c r="D51" s="23" t="s">
        <v>17</v>
      </c>
      <c r="E51" s="23">
        <v>510</v>
      </c>
      <c r="F51" s="23">
        <v>6</v>
      </c>
      <c r="G51" s="23">
        <v>36</v>
      </c>
    </row>
    <row r="52" spans="1:7" x14ac:dyDescent="0.3">
      <c r="A52" s="24">
        <v>44627</v>
      </c>
      <c r="B52" s="23">
        <v>2022</v>
      </c>
      <c r="C52" s="23">
        <v>3</v>
      </c>
      <c r="D52" s="23" t="s">
        <v>18</v>
      </c>
      <c r="E52" s="23">
        <v>532</v>
      </c>
      <c r="F52" s="23">
        <v>2</v>
      </c>
      <c r="G52" s="23">
        <v>20</v>
      </c>
    </row>
    <row r="53" spans="1:7" x14ac:dyDescent="0.3">
      <c r="A53" s="24">
        <v>44627</v>
      </c>
      <c r="B53" s="23">
        <v>2022</v>
      </c>
      <c r="C53" s="23">
        <v>3</v>
      </c>
      <c r="D53" s="23" t="s">
        <v>18</v>
      </c>
      <c r="E53" s="23">
        <v>544</v>
      </c>
      <c r="F53" s="23">
        <v>4</v>
      </c>
      <c r="G53" s="23">
        <v>48</v>
      </c>
    </row>
    <row r="54" spans="1:7" x14ac:dyDescent="0.3">
      <c r="A54" s="24">
        <v>44628</v>
      </c>
      <c r="B54" s="23">
        <v>2022</v>
      </c>
      <c r="C54" s="23">
        <v>3</v>
      </c>
      <c r="D54" s="23" t="s">
        <v>18</v>
      </c>
      <c r="E54" s="23">
        <v>536</v>
      </c>
      <c r="F54" s="23">
        <v>5</v>
      </c>
      <c r="G54" s="23">
        <v>25</v>
      </c>
    </row>
    <row r="55" spans="1:7" x14ac:dyDescent="0.3">
      <c r="A55" s="24">
        <v>44628</v>
      </c>
      <c r="B55" s="23">
        <v>2022</v>
      </c>
      <c r="C55" s="23">
        <v>3</v>
      </c>
      <c r="D55" s="23" t="s">
        <v>18</v>
      </c>
      <c r="E55" s="23">
        <v>580</v>
      </c>
      <c r="F55" s="23">
        <v>7</v>
      </c>
      <c r="G55" s="23">
        <v>56</v>
      </c>
    </row>
    <row r="56" spans="1:7" x14ac:dyDescent="0.3">
      <c r="A56" s="24">
        <v>44634</v>
      </c>
      <c r="B56" s="23">
        <v>2022</v>
      </c>
      <c r="C56" s="23">
        <v>3</v>
      </c>
      <c r="D56" s="23" t="s">
        <v>18</v>
      </c>
      <c r="E56" s="23">
        <v>514</v>
      </c>
      <c r="F56" s="23">
        <v>9</v>
      </c>
      <c r="G56" s="23">
        <v>58.5</v>
      </c>
    </row>
    <row r="57" spans="1:7" x14ac:dyDescent="0.3">
      <c r="A57" s="24">
        <v>44634</v>
      </c>
      <c r="B57" s="23">
        <v>2022</v>
      </c>
      <c r="C57" s="23">
        <v>3</v>
      </c>
      <c r="D57" s="23" t="s">
        <v>18</v>
      </c>
      <c r="E57" s="23">
        <v>548</v>
      </c>
      <c r="F57" s="23">
        <v>10</v>
      </c>
      <c r="G57" s="23">
        <v>20</v>
      </c>
    </row>
    <row r="58" spans="1:7" x14ac:dyDescent="0.3">
      <c r="A58" s="24">
        <v>44636</v>
      </c>
      <c r="B58" s="23">
        <v>2022</v>
      </c>
      <c r="C58" s="23">
        <v>3</v>
      </c>
      <c r="D58" s="23" t="s">
        <v>18</v>
      </c>
      <c r="E58" s="23">
        <v>540</v>
      </c>
      <c r="F58" s="23">
        <v>5</v>
      </c>
      <c r="G58" s="23">
        <v>37.5</v>
      </c>
    </row>
    <row r="59" spans="1:7" x14ac:dyDescent="0.3">
      <c r="A59" s="24">
        <v>44636</v>
      </c>
      <c r="B59" s="23">
        <v>2022</v>
      </c>
      <c r="C59" s="23">
        <v>3</v>
      </c>
      <c r="D59" s="23" t="s">
        <v>18</v>
      </c>
      <c r="E59" s="23">
        <v>560</v>
      </c>
      <c r="F59" s="23">
        <v>5</v>
      </c>
      <c r="G59" s="23">
        <v>40</v>
      </c>
    </row>
    <row r="60" spans="1:7" x14ac:dyDescent="0.3">
      <c r="A60" s="24">
        <v>44638</v>
      </c>
      <c r="B60" s="23">
        <v>2022</v>
      </c>
      <c r="C60" s="23">
        <v>3</v>
      </c>
      <c r="D60" s="23" t="s">
        <v>18</v>
      </c>
      <c r="E60" s="23">
        <v>516</v>
      </c>
      <c r="F60" s="23">
        <v>7</v>
      </c>
      <c r="G60" s="23">
        <v>31.5</v>
      </c>
    </row>
    <row r="61" spans="1:7" x14ac:dyDescent="0.3">
      <c r="A61" s="24">
        <v>44638</v>
      </c>
      <c r="B61" s="23">
        <v>2022</v>
      </c>
      <c r="C61" s="23">
        <v>3</v>
      </c>
      <c r="D61" s="23" t="s">
        <v>18</v>
      </c>
      <c r="E61" s="23">
        <v>530</v>
      </c>
      <c r="F61" s="23">
        <v>5</v>
      </c>
      <c r="G61" s="23">
        <v>42.5</v>
      </c>
    </row>
    <row r="62" spans="1:7" x14ac:dyDescent="0.3">
      <c r="A62" s="24">
        <v>44639</v>
      </c>
      <c r="B62" s="23">
        <v>2022</v>
      </c>
      <c r="C62" s="23">
        <v>3</v>
      </c>
      <c r="D62" s="23" t="s">
        <v>18</v>
      </c>
      <c r="E62" s="23">
        <v>524</v>
      </c>
      <c r="F62" s="23">
        <v>3</v>
      </c>
      <c r="G62" s="23">
        <v>6</v>
      </c>
    </row>
    <row r="63" spans="1:7" x14ac:dyDescent="0.3">
      <c r="A63" s="24">
        <v>44639</v>
      </c>
      <c r="B63" s="23">
        <v>2022</v>
      </c>
      <c r="C63" s="23">
        <v>3</v>
      </c>
      <c r="D63" s="23" t="s">
        <v>18</v>
      </c>
      <c r="E63" s="23">
        <v>580</v>
      </c>
      <c r="F63" s="23">
        <v>5</v>
      </c>
      <c r="G63" s="23">
        <v>40</v>
      </c>
    </row>
    <row r="64" spans="1:7" x14ac:dyDescent="0.3">
      <c r="A64" s="24">
        <v>44642</v>
      </c>
      <c r="B64" s="23">
        <v>2022</v>
      </c>
      <c r="C64" s="23">
        <v>3</v>
      </c>
      <c r="D64" s="23" t="s">
        <v>18</v>
      </c>
      <c r="E64" s="23">
        <v>518</v>
      </c>
      <c r="F64" s="23">
        <v>4</v>
      </c>
      <c r="G64" s="23">
        <v>16</v>
      </c>
    </row>
    <row r="65" spans="1:7" x14ac:dyDescent="0.3">
      <c r="A65" s="24">
        <v>44642</v>
      </c>
      <c r="B65" s="23">
        <v>2022</v>
      </c>
      <c r="C65" s="23">
        <v>3</v>
      </c>
      <c r="D65" s="23" t="s">
        <v>18</v>
      </c>
      <c r="E65" s="23">
        <v>524</v>
      </c>
      <c r="F65" s="23">
        <v>3</v>
      </c>
      <c r="G65" s="23">
        <v>6</v>
      </c>
    </row>
    <row r="66" spans="1:7" x14ac:dyDescent="0.3">
      <c r="A66" s="24">
        <v>44644</v>
      </c>
      <c r="B66" s="23">
        <v>2022</v>
      </c>
      <c r="C66" s="23">
        <v>3</v>
      </c>
      <c r="D66" s="23" t="s">
        <v>18</v>
      </c>
      <c r="E66" s="23">
        <v>520</v>
      </c>
      <c r="F66" s="23">
        <v>6</v>
      </c>
      <c r="G66" s="23">
        <v>24</v>
      </c>
    </row>
    <row r="67" spans="1:7" x14ac:dyDescent="0.3">
      <c r="A67" s="24">
        <v>44644</v>
      </c>
      <c r="B67" s="23">
        <v>2022</v>
      </c>
      <c r="C67" s="23">
        <v>3</v>
      </c>
      <c r="D67" s="23" t="s">
        <v>18</v>
      </c>
      <c r="E67" s="23">
        <v>580</v>
      </c>
      <c r="F67" s="23">
        <v>6</v>
      </c>
      <c r="G67" s="23">
        <v>48</v>
      </c>
    </row>
    <row r="68" spans="1:7" x14ac:dyDescent="0.3">
      <c r="A68" s="24">
        <v>44646</v>
      </c>
      <c r="B68" s="23">
        <v>2022</v>
      </c>
      <c r="C68" s="23">
        <v>3</v>
      </c>
      <c r="D68" s="23" t="s">
        <v>18</v>
      </c>
      <c r="E68" s="23">
        <v>522</v>
      </c>
      <c r="F68" s="23">
        <v>6</v>
      </c>
      <c r="G68" s="23">
        <v>24</v>
      </c>
    </row>
    <row r="69" spans="1:7" x14ac:dyDescent="0.3">
      <c r="A69" s="24">
        <v>44646</v>
      </c>
      <c r="B69" s="23">
        <v>2022</v>
      </c>
      <c r="C69" s="23">
        <v>3</v>
      </c>
      <c r="D69" s="23" t="s">
        <v>18</v>
      </c>
      <c r="E69" s="23">
        <v>510</v>
      </c>
      <c r="F69" s="23">
        <v>6</v>
      </c>
      <c r="G69" s="23">
        <v>36</v>
      </c>
    </row>
    <row r="70" spans="1:7" x14ac:dyDescent="0.3">
      <c r="A70" s="24">
        <v>44648</v>
      </c>
      <c r="B70" s="23">
        <v>2022</v>
      </c>
      <c r="C70" s="23">
        <v>3</v>
      </c>
      <c r="D70" s="23" t="s">
        <v>18</v>
      </c>
      <c r="E70" s="23">
        <v>562</v>
      </c>
      <c r="F70" s="23">
        <v>5</v>
      </c>
      <c r="G70" s="23">
        <v>25</v>
      </c>
    </row>
    <row r="71" spans="1:7" x14ac:dyDescent="0.3">
      <c r="A71" s="24">
        <v>44648</v>
      </c>
      <c r="B71" s="23">
        <v>2022</v>
      </c>
      <c r="C71" s="23">
        <v>3</v>
      </c>
      <c r="D71" s="23" t="s">
        <v>18</v>
      </c>
      <c r="E71" s="23">
        <v>510</v>
      </c>
      <c r="F71" s="23">
        <v>6</v>
      </c>
      <c r="G71" s="23">
        <v>36</v>
      </c>
    </row>
    <row r="72" spans="1:7" x14ac:dyDescent="0.3">
      <c r="A72" s="24">
        <v>44650</v>
      </c>
      <c r="B72" s="23">
        <v>2022</v>
      </c>
      <c r="C72" s="23">
        <v>3</v>
      </c>
      <c r="D72" s="23" t="s">
        <v>18</v>
      </c>
      <c r="E72" s="23">
        <v>544</v>
      </c>
      <c r="F72" s="23">
        <v>2</v>
      </c>
      <c r="G72" s="23">
        <v>24</v>
      </c>
    </row>
    <row r="73" spans="1:7" x14ac:dyDescent="0.3">
      <c r="A73" s="24">
        <v>44655</v>
      </c>
      <c r="B73" s="23">
        <v>2022</v>
      </c>
      <c r="C73" s="23">
        <v>4</v>
      </c>
      <c r="D73" s="23" t="s">
        <v>19</v>
      </c>
      <c r="E73" s="23">
        <v>532</v>
      </c>
      <c r="F73" s="23">
        <v>2</v>
      </c>
      <c r="G73" s="23">
        <v>20</v>
      </c>
    </row>
    <row r="74" spans="1:7" x14ac:dyDescent="0.3">
      <c r="A74" s="24">
        <v>44655</v>
      </c>
      <c r="B74" s="23">
        <v>2022</v>
      </c>
      <c r="C74" s="23">
        <v>4</v>
      </c>
      <c r="D74" s="23" t="s">
        <v>19</v>
      </c>
      <c r="E74" s="23">
        <v>544</v>
      </c>
      <c r="F74" s="23">
        <v>2</v>
      </c>
      <c r="G74" s="23">
        <v>24</v>
      </c>
    </row>
    <row r="75" spans="1:7" x14ac:dyDescent="0.3">
      <c r="A75" s="24">
        <v>44657</v>
      </c>
      <c r="B75" s="23">
        <v>2022</v>
      </c>
      <c r="C75" s="23">
        <v>4</v>
      </c>
      <c r="D75" s="23" t="s">
        <v>19</v>
      </c>
      <c r="E75" s="23">
        <v>536</v>
      </c>
      <c r="F75" s="23">
        <v>5</v>
      </c>
      <c r="G75" s="23">
        <v>25</v>
      </c>
    </row>
    <row r="76" spans="1:7" x14ac:dyDescent="0.3">
      <c r="A76" s="24">
        <v>44657</v>
      </c>
      <c r="B76" s="23">
        <v>2022</v>
      </c>
      <c r="C76" s="23">
        <v>4</v>
      </c>
      <c r="D76" s="23" t="s">
        <v>19</v>
      </c>
      <c r="E76" s="23">
        <v>580</v>
      </c>
      <c r="F76" s="23">
        <v>3</v>
      </c>
      <c r="G76" s="23">
        <v>24</v>
      </c>
    </row>
    <row r="77" spans="1:7" x14ac:dyDescent="0.3">
      <c r="A77" s="24">
        <v>44659</v>
      </c>
      <c r="B77" s="23">
        <v>2022</v>
      </c>
      <c r="C77" s="23">
        <v>4</v>
      </c>
      <c r="D77" s="23" t="s">
        <v>19</v>
      </c>
      <c r="E77" s="23">
        <v>514</v>
      </c>
      <c r="F77" s="23">
        <v>8</v>
      </c>
      <c r="G77" s="23">
        <v>52</v>
      </c>
    </row>
    <row r="78" spans="1:7" x14ac:dyDescent="0.3">
      <c r="A78" s="24">
        <v>44659</v>
      </c>
      <c r="B78" s="23">
        <v>2022</v>
      </c>
      <c r="C78" s="23">
        <v>4</v>
      </c>
      <c r="D78" s="23" t="s">
        <v>19</v>
      </c>
      <c r="E78" s="23">
        <v>548</v>
      </c>
      <c r="F78" s="23">
        <v>10</v>
      </c>
      <c r="G78" s="23">
        <v>20</v>
      </c>
    </row>
    <row r="79" spans="1:7" x14ac:dyDescent="0.3">
      <c r="A79" s="24">
        <v>44663</v>
      </c>
      <c r="B79" s="23">
        <v>2022</v>
      </c>
      <c r="C79" s="23">
        <v>4</v>
      </c>
      <c r="D79" s="23" t="s">
        <v>19</v>
      </c>
      <c r="E79" s="23">
        <v>540</v>
      </c>
      <c r="F79" s="23">
        <v>5</v>
      </c>
      <c r="G79" s="23">
        <v>37.5</v>
      </c>
    </row>
    <row r="80" spans="1:7" x14ac:dyDescent="0.3">
      <c r="A80" s="24">
        <v>44663</v>
      </c>
      <c r="B80" s="23">
        <v>2022</v>
      </c>
      <c r="C80" s="23">
        <v>4</v>
      </c>
      <c r="D80" s="23" t="s">
        <v>19</v>
      </c>
      <c r="E80" s="23">
        <v>560</v>
      </c>
      <c r="F80" s="23">
        <v>5</v>
      </c>
      <c r="G80" s="23">
        <v>40</v>
      </c>
    </row>
    <row r="81" spans="1:7" x14ac:dyDescent="0.3">
      <c r="A81" s="24">
        <v>44665</v>
      </c>
      <c r="B81" s="23">
        <v>2022</v>
      </c>
      <c r="C81" s="23">
        <v>4</v>
      </c>
      <c r="D81" s="23" t="s">
        <v>19</v>
      </c>
      <c r="E81" s="23">
        <v>516</v>
      </c>
      <c r="F81" s="23">
        <v>7</v>
      </c>
      <c r="G81" s="23">
        <v>31.5</v>
      </c>
    </row>
    <row r="82" spans="1:7" x14ac:dyDescent="0.3">
      <c r="A82" s="24">
        <v>44665</v>
      </c>
      <c r="B82" s="23">
        <v>2022</v>
      </c>
      <c r="C82" s="23">
        <v>4</v>
      </c>
      <c r="D82" s="23" t="s">
        <v>19</v>
      </c>
      <c r="E82" s="23">
        <v>530</v>
      </c>
      <c r="F82" s="23">
        <v>5</v>
      </c>
      <c r="G82" s="23">
        <v>42.5</v>
      </c>
    </row>
    <row r="83" spans="1:7" x14ac:dyDescent="0.3">
      <c r="A83" s="24">
        <v>44669</v>
      </c>
      <c r="B83" s="23">
        <v>2022</v>
      </c>
      <c r="C83" s="23">
        <v>4</v>
      </c>
      <c r="D83" s="23" t="s">
        <v>19</v>
      </c>
      <c r="E83" s="23">
        <v>518</v>
      </c>
      <c r="F83" s="23">
        <v>4</v>
      </c>
      <c r="G83" s="23">
        <v>16</v>
      </c>
    </row>
    <row r="84" spans="1:7" x14ac:dyDescent="0.3">
      <c r="A84" s="24">
        <v>44669</v>
      </c>
      <c r="B84" s="23">
        <v>2022</v>
      </c>
      <c r="C84" s="23">
        <v>4</v>
      </c>
      <c r="D84" s="23" t="s">
        <v>19</v>
      </c>
      <c r="E84" s="23">
        <v>524</v>
      </c>
      <c r="F84" s="23">
        <v>3</v>
      </c>
      <c r="G84" s="23">
        <v>6</v>
      </c>
    </row>
    <row r="85" spans="1:7" x14ac:dyDescent="0.3">
      <c r="A85" s="24">
        <v>44671</v>
      </c>
      <c r="B85" s="23">
        <v>2022</v>
      </c>
      <c r="C85" s="23">
        <v>4</v>
      </c>
      <c r="D85" s="23" t="s">
        <v>19</v>
      </c>
      <c r="E85" s="23">
        <v>520</v>
      </c>
      <c r="F85" s="23">
        <v>6</v>
      </c>
      <c r="G85" s="23">
        <v>24</v>
      </c>
    </row>
    <row r="86" spans="1:7" x14ac:dyDescent="0.3">
      <c r="A86" s="24">
        <v>44671</v>
      </c>
      <c r="B86" s="23">
        <v>2022</v>
      </c>
      <c r="C86" s="23">
        <v>4</v>
      </c>
      <c r="D86" s="23" t="s">
        <v>19</v>
      </c>
      <c r="E86" s="23">
        <v>580</v>
      </c>
      <c r="F86" s="23">
        <v>6</v>
      </c>
      <c r="G86" s="23">
        <v>48</v>
      </c>
    </row>
    <row r="87" spans="1:7" x14ac:dyDescent="0.3">
      <c r="A87" s="24">
        <v>44673</v>
      </c>
      <c r="B87" s="23">
        <v>2022</v>
      </c>
      <c r="C87" s="23">
        <v>4</v>
      </c>
      <c r="D87" s="23" t="s">
        <v>19</v>
      </c>
      <c r="E87" s="23">
        <v>522</v>
      </c>
      <c r="F87" s="23">
        <v>6</v>
      </c>
      <c r="G87" s="23">
        <v>24</v>
      </c>
    </row>
    <row r="88" spans="1:7" x14ac:dyDescent="0.3">
      <c r="A88" s="24">
        <v>44673</v>
      </c>
      <c r="B88" s="23">
        <v>2022</v>
      </c>
      <c r="C88" s="23">
        <v>4</v>
      </c>
      <c r="D88" s="23" t="s">
        <v>19</v>
      </c>
      <c r="E88" s="23">
        <v>510</v>
      </c>
      <c r="F88" s="23">
        <v>6</v>
      </c>
      <c r="G88" s="23">
        <v>36</v>
      </c>
    </row>
    <row r="89" spans="1:7" x14ac:dyDescent="0.3">
      <c r="A89" s="24">
        <v>44677</v>
      </c>
      <c r="B89" s="23">
        <v>2022</v>
      </c>
      <c r="C89" s="23">
        <v>4</v>
      </c>
      <c r="D89" s="23" t="s">
        <v>19</v>
      </c>
      <c r="E89" s="23">
        <v>562</v>
      </c>
      <c r="F89" s="23">
        <v>5</v>
      </c>
      <c r="G89" s="23">
        <v>25</v>
      </c>
    </row>
    <row r="90" spans="1:7" x14ac:dyDescent="0.3">
      <c r="A90" s="24">
        <v>44677</v>
      </c>
      <c r="B90" s="23">
        <v>2022</v>
      </c>
      <c r="C90" s="23">
        <v>4</v>
      </c>
      <c r="D90" s="23" t="s">
        <v>19</v>
      </c>
      <c r="E90" s="23">
        <v>510</v>
      </c>
      <c r="F90" s="23">
        <v>6</v>
      </c>
      <c r="G90" s="23">
        <v>36</v>
      </c>
    </row>
    <row r="91" spans="1:7" x14ac:dyDescent="0.3">
      <c r="A91" s="24">
        <v>44683</v>
      </c>
      <c r="B91" s="23">
        <v>2022</v>
      </c>
      <c r="C91" s="23">
        <v>5</v>
      </c>
      <c r="D91" s="23" t="s">
        <v>20</v>
      </c>
      <c r="E91" s="23">
        <v>532</v>
      </c>
      <c r="F91" s="23">
        <v>2</v>
      </c>
      <c r="G91" s="23">
        <v>20</v>
      </c>
    </row>
    <row r="92" spans="1:7" x14ac:dyDescent="0.3">
      <c r="A92" s="24">
        <v>44683</v>
      </c>
      <c r="B92" s="23">
        <v>2022</v>
      </c>
      <c r="C92" s="23">
        <v>5</v>
      </c>
      <c r="D92" s="23" t="s">
        <v>20</v>
      </c>
      <c r="E92" s="23">
        <v>544</v>
      </c>
      <c r="F92" s="23">
        <v>3</v>
      </c>
      <c r="G92" s="23">
        <v>36</v>
      </c>
    </row>
    <row r="93" spans="1:7" x14ac:dyDescent="0.3">
      <c r="A93" s="24">
        <v>44685</v>
      </c>
      <c r="B93" s="23">
        <v>2022</v>
      </c>
      <c r="C93" s="23">
        <v>5</v>
      </c>
      <c r="D93" s="23" t="s">
        <v>20</v>
      </c>
      <c r="E93" s="23">
        <v>536</v>
      </c>
      <c r="F93" s="23">
        <v>5</v>
      </c>
      <c r="G93" s="23">
        <v>25</v>
      </c>
    </row>
    <row r="94" spans="1:7" x14ac:dyDescent="0.3">
      <c r="A94" s="24">
        <v>44685</v>
      </c>
      <c r="B94" s="23">
        <v>2022</v>
      </c>
      <c r="C94" s="23">
        <v>5</v>
      </c>
      <c r="D94" s="23" t="s">
        <v>20</v>
      </c>
      <c r="E94" s="23">
        <v>580</v>
      </c>
      <c r="F94" s="23">
        <v>3</v>
      </c>
      <c r="G94" s="23">
        <v>24</v>
      </c>
    </row>
    <row r="95" spans="1:7" x14ac:dyDescent="0.3">
      <c r="A95" s="24">
        <v>44687</v>
      </c>
      <c r="B95" s="23">
        <v>2022</v>
      </c>
      <c r="C95" s="23">
        <v>5</v>
      </c>
      <c r="D95" s="23" t="s">
        <v>20</v>
      </c>
      <c r="E95" s="23">
        <v>514</v>
      </c>
      <c r="F95" s="23">
        <v>7</v>
      </c>
      <c r="G95" s="23">
        <v>45.5</v>
      </c>
    </row>
    <row r="96" spans="1:7" x14ac:dyDescent="0.3">
      <c r="A96" s="24">
        <v>44687</v>
      </c>
      <c r="B96" s="23">
        <v>2022</v>
      </c>
      <c r="C96" s="23">
        <v>5</v>
      </c>
      <c r="D96" s="23" t="s">
        <v>20</v>
      </c>
      <c r="E96" s="23">
        <v>548</v>
      </c>
      <c r="F96" s="23">
        <v>10</v>
      </c>
      <c r="G96" s="23">
        <v>20</v>
      </c>
    </row>
    <row r="97" spans="1:7" x14ac:dyDescent="0.3">
      <c r="A97" s="24">
        <v>44690</v>
      </c>
      <c r="B97" s="23">
        <v>2022</v>
      </c>
      <c r="C97" s="23">
        <v>5</v>
      </c>
      <c r="D97" s="23" t="s">
        <v>20</v>
      </c>
      <c r="E97" s="23">
        <v>540</v>
      </c>
      <c r="F97" s="23">
        <v>5</v>
      </c>
      <c r="G97" s="23">
        <v>37.5</v>
      </c>
    </row>
    <row r="98" spans="1:7" x14ac:dyDescent="0.3">
      <c r="A98" s="24">
        <v>44690</v>
      </c>
      <c r="B98" s="23">
        <v>2022</v>
      </c>
      <c r="C98" s="23">
        <v>5</v>
      </c>
      <c r="D98" s="23" t="s">
        <v>20</v>
      </c>
      <c r="E98" s="23">
        <v>560</v>
      </c>
      <c r="F98" s="23">
        <v>5</v>
      </c>
      <c r="G98" s="23">
        <v>40</v>
      </c>
    </row>
    <row r="99" spans="1:7" x14ac:dyDescent="0.3">
      <c r="A99" s="24">
        <v>44697</v>
      </c>
      <c r="B99" s="23">
        <v>2022</v>
      </c>
      <c r="C99" s="23">
        <v>5</v>
      </c>
      <c r="D99" s="23" t="s">
        <v>20</v>
      </c>
      <c r="E99" s="23">
        <v>516</v>
      </c>
      <c r="F99" s="23">
        <v>7</v>
      </c>
      <c r="G99" s="23">
        <v>31.5</v>
      </c>
    </row>
    <row r="100" spans="1:7" x14ac:dyDescent="0.3">
      <c r="A100" s="24">
        <v>44697</v>
      </c>
      <c r="B100" s="23">
        <v>2022</v>
      </c>
      <c r="C100" s="23">
        <v>5</v>
      </c>
      <c r="D100" s="23" t="s">
        <v>20</v>
      </c>
      <c r="E100" s="23">
        <v>530</v>
      </c>
      <c r="F100" s="23">
        <v>5</v>
      </c>
      <c r="G100" s="23">
        <v>42.5</v>
      </c>
    </row>
    <row r="101" spans="1:7" x14ac:dyDescent="0.3">
      <c r="A101" s="24">
        <v>44699</v>
      </c>
      <c r="B101" s="23">
        <v>2022</v>
      </c>
      <c r="C101" s="23">
        <v>5</v>
      </c>
      <c r="D101" s="23" t="s">
        <v>20</v>
      </c>
      <c r="E101" s="23">
        <v>518</v>
      </c>
      <c r="F101" s="23">
        <v>4</v>
      </c>
      <c r="G101" s="23">
        <v>16</v>
      </c>
    </row>
    <row r="102" spans="1:7" x14ac:dyDescent="0.3">
      <c r="A102" s="24">
        <v>44699</v>
      </c>
      <c r="B102" s="23">
        <v>2022</v>
      </c>
      <c r="C102" s="23">
        <v>5</v>
      </c>
      <c r="D102" s="23" t="s">
        <v>20</v>
      </c>
      <c r="E102" s="23">
        <v>524</v>
      </c>
      <c r="F102" s="23">
        <v>3</v>
      </c>
      <c r="G102" s="23">
        <v>6</v>
      </c>
    </row>
    <row r="103" spans="1:7" x14ac:dyDescent="0.3">
      <c r="A103" s="24">
        <v>44701</v>
      </c>
      <c r="B103" s="23">
        <v>2022</v>
      </c>
      <c r="C103" s="23">
        <v>5</v>
      </c>
      <c r="D103" s="23" t="s">
        <v>20</v>
      </c>
      <c r="E103" s="23">
        <v>520</v>
      </c>
      <c r="F103" s="23">
        <v>6</v>
      </c>
      <c r="G103" s="23">
        <v>24</v>
      </c>
    </row>
    <row r="104" spans="1:7" x14ac:dyDescent="0.3">
      <c r="A104" s="24">
        <v>44701</v>
      </c>
      <c r="B104" s="23">
        <v>2022</v>
      </c>
      <c r="C104" s="23">
        <v>5</v>
      </c>
      <c r="D104" s="23" t="s">
        <v>20</v>
      </c>
      <c r="E104" s="23">
        <v>580</v>
      </c>
      <c r="F104" s="23">
        <v>6</v>
      </c>
      <c r="G104" s="23">
        <v>48</v>
      </c>
    </row>
    <row r="105" spans="1:7" x14ac:dyDescent="0.3">
      <c r="A105" s="24">
        <v>44704</v>
      </c>
      <c r="B105" s="23">
        <v>2022</v>
      </c>
      <c r="C105" s="23">
        <v>5</v>
      </c>
      <c r="D105" s="23" t="s">
        <v>20</v>
      </c>
      <c r="E105" s="23">
        <v>522</v>
      </c>
      <c r="F105" s="23">
        <v>6</v>
      </c>
      <c r="G105" s="23">
        <v>24</v>
      </c>
    </row>
    <row r="106" spans="1:7" x14ac:dyDescent="0.3">
      <c r="A106" s="24">
        <v>44704</v>
      </c>
      <c r="B106" s="23">
        <v>2022</v>
      </c>
      <c r="C106" s="23">
        <v>5</v>
      </c>
      <c r="D106" s="23" t="s">
        <v>20</v>
      </c>
      <c r="E106" s="23">
        <v>510</v>
      </c>
      <c r="F106" s="23">
        <v>6</v>
      </c>
      <c r="G106" s="23">
        <v>36</v>
      </c>
    </row>
    <row r="107" spans="1:7" x14ac:dyDescent="0.3">
      <c r="A107" s="24">
        <v>44706</v>
      </c>
      <c r="B107" s="23">
        <v>2022</v>
      </c>
      <c r="C107" s="23">
        <v>5</v>
      </c>
      <c r="D107" s="23" t="s">
        <v>20</v>
      </c>
      <c r="E107" s="23">
        <v>562</v>
      </c>
      <c r="F107" s="23">
        <v>5</v>
      </c>
      <c r="G107" s="23">
        <v>25</v>
      </c>
    </row>
    <row r="108" spans="1:7" x14ac:dyDescent="0.3">
      <c r="A108" s="24">
        <v>44706</v>
      </c>
      <c r="B108" s="23">
        <v>2022</v>
      </c>
      <c r="C108" s="23">
        <v>5</v>
      </c>
      <c r="D108" s="23" t="s">
        <v>20</v>
      </c>
      <c r="E108" s="23">
        <v>510</v>
      </c>
      <c r="F108" s="23">
        <v>6</v>
      </c>
      <c r="G108" s="23">
        <v>36</v>
      </c>
    </row>
    <row r="109" spans="1:7" x14ac:dyDescent="0.3">
      <c r="A109" s="24">
        <v>44707</v>
      </c>
      <c r="B109" s="23">
        <v>2022</v>
      </c>
      <c r="C109" s="23">
        <v>5</v>
      </c>
      <c r="D109" s="23" t="s">
        <v>20</v>
      </c>
      <c r="E109" s="23">
        <v>532</v>
      </c>
      <c r="F109" s="23">
        <v>2</v>
      </c>
      <c r="G109" s="23">
        <v>20</v>
      </c>
    </row>
    <row r="110" spans="1:7" x14ac:dyDescent="0.3">
      <c r="A110" s="24">
        <v>44707</v>
      </c>
      <c r="B110" s="23">
        <v>2022</v>
      </c>
      <c r="C110" s="23">
        <v>5</v>
      </c>
      <c r="D110" s="23" t="s">
        <v>20</v>
      </c>
      <c r="E110" s="23">
        <v>544</v>
      </c>
      <c r="F110" s="23">
        <v>4</v>
      </c>
      <c r="G110" s="23">
        <v>48</v>
      </c>
    </row>
    <row r="111" spans="1:7" x14ac:dyDescent="0.3">
      <c r="A111" s="24">
        <v>44707</v>
      </c>
      <c r="B111" s="23">
        <v>2022</v>
      </c>
      <c r="C111" s="23">
        <v>5</v>
      </c>
      <c r="D111" s="23" t="s">
        <v>20</v>
      </c>
      <c r="E111" s="23">
        <v>536</v>
      </c>
      <c r="F111" s="23">
        <v>5</v>
      </c>
      <c r="G111" s="23">
        <v>25</v>
      </c>
    </row>
    <row r="112" spans="1:7" x14ac:dyDescent="0.3">
      <c r="A112" s="24">
        <v>44708</v>
      </c>
      <c r="B112" s="23">
        <v>2022</v>
      </c>
      <c r="C112" s="23">
        <v>5</v>
      </c>
      <c r="D112" s="23" t="s">
        <v>20</v>
      </c>
      <c r="E112" s="23">
        <v>580</v>
      </c>
      <c r="F112" s="23">
        <v>3</v>
      </c>
      <c r="G112" s="23">
        <v>24</v>
      </c>
    </row>
    <row r="113" spans="1:7" x14ac:dyDescent="0.3">
      <c r="A113" s="24">
        <v>44708</v>
      </c>
      <c r="B113" s="23">
        <v>2022</v>
      </c>
      <c r="C113" s="23">
        <v>5</v>
      </c>
      <c r="D113" s="23" t="s">
        <v>20</v>
      </c>
      <c r="E113" s="23">
        <v>514</v>
      </c>
      <c r="F113" s="23">
        <v>9</v>
      </c>
      <c r="G113" s="23">
        <v>58.5</v>
      </c>
    </row>
    <row r="114" spans="1:7" x14ac:dyDescent="0.3">
      <c r="A114" s="24">
        <v>44713</v>
      </c>
      <c r="B114" s="23">
        <v>2022</v>
      </c>
      <c r="C114" s="23">
        <v>6</v>
      </c>
      <c r="D114" s="23" t="s">
        <v>21</v>
      </c>
      <c r="E114" s="23">
        <v>532</v>
      </c>
      <c r="F114" s="23">
        <v>2</v>
      </c>
      <c r="G114" s="23">
        <v>20</v>
      </c>
    </row>
    <row r="115" spans="1:7" x14ac:dyDescent="0.3">
      <c r="A115" s="24">
        <v>44713</v>
      </c>
      <c r="B115" s="23">
        <v>2022</v>
      </c>
      <c r="C115" s="23">
        <v>6</v>
      </c>
      <c r="D115" s="23" t="s">
        <v>21</v>
      </c>
      <c r="E115" s="23">
        <v>544</v>
      </c>
      <c r="F115" s="23">
        <v>2</v>
      </c>
      <c r="G115" s="23">
        <v>24</v>
      </c>
    </row>
    <row r="116" spans="1:7" x14ac:dyDescent="0.3">
      <c r="A116" s="24">
        <v>44715</v>
      </c>
      <c r="B116" s="23">
        <v>2022</v>
      </c>
      <c r="C116" s="23">
        <v>6</v>
      </c>
      <c r="D116" s="23" t="s">
        <v>21</v>
      </c>
      <c r="E116" s="23">
        <v>536</v>
      </c>
      <c r="F116" s="23">
        <v>5</v>
      </c>
      <c r="G116" s="23">
        <v>25</v>
      </c>
    </row>
    <row r="117" spans="1:7" x14ac:dyDescent="0.3">
      <c r="A117" s="24">
        <v>44718</v>
      </c>
      <c r="B117" s="23">
        <v>2022</v>
      </c>
      <c r="C117" s="23">
        <v>6</v>
      </c>
      <c r="D117" s="23" t="s">
        <v>21</v>
      </c>
      <c r="E117" s="23">
        <v>580</v>
      </c>
      <c r="F117" s="23">
        <v>3</v>
      </c>
      <c r="G117" s="23">
        <v>24</v>
      </c>
    </row>
    <row r="118" spans="1:7" x14ac:dyDescent="0.3">
      <c r="A118" s="24">
        <v>44718</v>
      </c>
      <c r="B118" s="23">
        <v>2022</v>
      </c>
      <c r="C118" s="23">
        <v>6</v>
      </c>
      <c r="D118" s="23" t="s">
        <v>21</v>
      </c>
      <c r="E118" s="23">
        <v>514</v>
      </c>
      <c r="F118" s="23">
        <v>8</v>
      </c>
      <c r="G118" s="23">
        <v>52</v>
      </c>
    </row>
    <row r="119" spans="1:7" x14ac:dyDescent="0.3">
      <c r="A119" s="24">
        <v>44720</v>
      </c>
      <c r="B119" s="23">
        <v>2022</v>
      </c>
      <c r="C119" s="23">
        <v>6</v>
      </c>
      <c r="D119" s="23" t="s">
        <v>21</v>
      </c>
      <c r="E119" s="23">
        <v>548</v>
      </c>
      <c r="F119" s="23">
        <v>10</v>
      </c>
      <c r="G119" s="23">
        <v>20</v>
      </c>
    </row>
    <row r="120" spans="1:7" x14ac:dyDescent="0.3">
      <c r="A120" s="24">
        <v>44720</v>
      </c>
      <c r="B120" s="23">
        <v>2022</v>
      </c>
      <c r="C120" s="23">
        <v>6</v>
      </c>
      <c r="D120" s="23" t="s">
        <v>21</v>
      </c>
      <c r="E120" s="23">
        <v>540</v>
      </c>
      <c r="F120" s="23">
        <v>5</v>
      </c>
      <c r="G120" s="23">
        <v>37.5</v>
      </c>
    </row>
    <row r="121" spans="1:7" x14ac:dyDescent="0.3">
      <c r="A121" s="24">
        <v>44722</v>
      </c>
      <c r="B121" s="23">
        <v>2022</v>
      </c>
      <c r="C121" s="23">
        <v>6</v>
      </c>
      <c r="D121" s="23" t="s">
        <v>21</v>
      </c>
      <c r="E121" s="23">
        <v>560</v>
      </c>
      <c r="F121" s="23">
        <v>5</v>
      </c>
      <c r="G121" s="23">
        <v>40</v>
      </c>
    </row>
    <row r="122" spans="1:7" x14ac:dyDescent="0.3">
      <c r="A122" s="24">
        <v>44732</v>
      </c>
      <c r="B122" s="23">
        <v>2022</v>
      </c>
      <c r="C122" s="23">
        <v>6</v>
      </c>
      <c r="D122" s="23" t="s">
        <v>21</v>
      </c>
      <c r="E122" s="23">
        <v>516</v>
      </c>
      <c r="F122" s="23">
        <v>7</v>
      </c>
      <c r="G122" s="23">
        <v>31.5</v>
      </c>
    </row>
    <row r="123" spans="1:7" x14ac:dyDescent="0.3">
      <c r="A123" s="24">
        <v>44732</v>
      </c>
      <c r="B123" s="23">
        <v>2022</v>
      </c>
      <c r="C123" s="23">
        <v>6</v>
      </c>
      <c r="D123" s="23" t="s">
        <v>21</v>
      </c>
      <c r="E123" s="23">
        <v>530</v>
      </c>
      <c r="F123" s="23">
        <v>5</v>
      </c>
      <c r="G123" s="23">
        <v>42.5</v>
      </c>
    </row>
    <row r="124" spans="1:7" x14ac:dyDescent="0.3">
      <c r="A124" s="24">
        <v>44734</v>
      </c>
      <c r="B124" s="23">
        <v>2022</v>
      </c>
      <c r="C124" s="23">
        <v>6</v>
      </c>
      <c r="D124" s="23" t="s">
        <v>21</v>
      </c>
      <c r="E124" s="23">
        <v>518</v>
      </c>
      <c r="F124" s="23">
        <v>4</v>
      </c>
      <c r="G124" s="23">
        <v>16</v>
      </c>
    </row>
    <row r="125" spans="1:7" x14ac:dyDescent="0.3">
      <c r="A125" s="24">
        <v>44734</v>
      </c>
      <c r="B125" s="23">
        <v>2022</v>
      </c>
      <c r="C125" s="23">
        <v>6</v>
      </c>
      <c r="D125" s="23" t="s">
        <v>21</v>
      </c>
      <c r="E125" s="23">
        <v>524</v>
      </c>
      <c r="F125" s="23">
        <v>3</v>
      </c>
      <c r="G125" s="23">
        <v>6</v>
      </c>
    </row>
    <row r="126" spans="1:7" x14ac:dyDescent="0.3">
      <c r="A126" s="24">
        <v>44736</v>
      </c>
      <c r="B126" s="23">
        <v>2022</v>
      </c>
      <c r="C126" s="23">
        <v>6</v>
      </c>
      <c r="D126" s="23" t="s">
        <v>21</v>
      </c>
      <c r="E126" s="23">
        <v>520</v>
      </c>
      <c r="F126" s="23">
        <v>6</v>
      </c>
      <c r="G126" s="23">
        <v>24</v>
      </c>
    </row>
    <row r="127" spans="1:7" x14ac:dyDescent="0.3">
      <c r="A127" s="24">
        <v>44736</v>
      </c>
      <c r="B127" s="23">
        <v>2022</v>
      </c>
      <c r="C127" s="23">
        <v>6</v>
      </c>
      <c r="D127" s="23" t="s">
        <v>21</v>
      </c>
      <c r="E127" s="23">
        <v>580</v>
      </c>
      <c r="F127" s="23">
        <v>6</v>
      </c>
      <c r="G127" s="23">
        <v>48</v>
      </c>
    </row>
    <row r="128" spans="1:7" x14ac:dyDescent="0.3">
      <c r="A128" s="24">
        <v>44739</v>
      </c>
      <c r="B128" s="23">
        <v>2022</v>
      </c>
      <c r="C128" s="23">
        <v>6</v>
      </c>
      <c r="D128" s="23" t="s">
        <v>21</v>
      </c>
      <c r="E128" s="23">
        <v>522</v>
      </c>
      <c r="F128" s="23">
        <v>6</v>
      </c>
      <c r="G128" s="23">
        <v>24</v>
      </c>
    </row>
    <row r="129" spans="1:7" x14ac:dyDescent="0.3">
      <c r="A129" s="24">
        <v>44739</v>
      </c>
      <c r="B129" s="23">
        <v>2022</v>
      </c>
      <c r="C129" s="23">
        <v>6</v>
      </c>
      <c r="D129" s="23" t="s">
        <v>21</v>
      </c>
      <c r="E129" s="23">
        <v>510</v>
      </c>
      <c r="F129" s="23">
        <v>6</v>
      </c>
      <c r="G129" s="23">
        <v>36</v>
      </c>
    </row>
    <row r="130" spans="1:7" x14ac:dyDescent="0.3">
      <c r="A130" s="24">
        <v>44741</v>
      </c>
      <c r="B130" s="23">
        <v>2022</v>
      </c>
      <c r="C130" s="23">
        <v>6</v>
      </c>
      <c r="D130" s="23" t="s">
        <v>21</v>
      </c>
      <c r="E130" s="23">
        <v>562</v>
      </c>
      <c r="F130" s="23">
        <v>5</v>
      </c>
      <c r="G130" s="23">
        <v>25</v>
      </c>
    </row>
    <row r="131" spans="1:7" x14ac:dyDescent="0.3">
      <c r="A131" s="24">
        <v>44741</v>
      </c>
      <c r="B131" s="23">
        <v>2022</v>
      </c>
      <c r="C131" s="23">
        <v>6</v>
      </c>
      <c r="D131" s="23" t="s">
        <v>21</v>
      </c>
      <c r="E131" s="23">
        <v>510</v>
      </c>
      <c r="F131" s="23">
        <v>6</v>
      </c>
      <c r="G131" s="23">
        <v>36</v>
      </c>
    </row>
    <row r="132" spans="1:7" x14ac:dyDescent="0.3">
      <c r="A132" s="24">
        <v>44742</v>
      </c>
      <c r="B132" s="23">
        <v>2022</v>
      </c>
      <c r="C132" s="23">
        <v>6</v>
      </c>
      <c r="D132" s="23" t="s">
        <v>21</v>
      </c>
      <c r="E132" s="23">
        <v>576</v>
      </c>
      <c r="F132" s="23">
        <v>10</v>
      </c>
      <c r="G132" s="23">
        <v>125</v>
      </c>
    </row>
    <row r="133" spans="1:7" x14ac:dyDescent="0.3">
      <c r="A133" s="24">
        <v>44742</v>
      </c>
      <c r="B133" s="23">
        <v>2022</v>
      </c>
      <c r="C133" s="23">
        <v>6</v>
      </c>
      <c r="D133" s="23" t="s">
        <v>21</v>
      </c>
      <c r="E133" s="23">
        <v>578</v>
      </c>
      <c r="F133" s="23">
        <v>4</v>
      </c>
      <c r="G133" s="23">
        <v>62</v>
      </c>
    </row>
    <row r="134" spans="1:7" x14ac:dyDescent="0.3">
      <c r="A134" s="24">
        <v>44742</v>
      </c>
      <c r="B134" s="23">
        <v>2022</v>
      </c>
      <c r="C134" s="23">
        <v>6</v>
      </c>
      <c r="D134" s="23" t="s">
        <v>21</v>
      </c>
      <c r="E134" s="23">
        <v>532</v>
      </c>
      <c r="F134" s="23">
        <v>2</v>
      </c>
      <c r="G134" s="23">
        <v>20</v>
      </c>
    </row>
    <row r="135" spans="1:7" x14ac:dyDescent="0.3">
      <c r="A135" s="24">
        <v>44742</v>
      </c>
      <c r="B135" s="23">
        <v>2022</v>
      </c>
      <c r="C135" s="23">
        <v>6</v>
      </c>
      <c r="D135" s="23" t="s">
        <v>21</v>
      </c>
      <c r="E135" s="23">
        <v>544</v>
      </c>
      <c r="F135" s="23">
        <v>2</v>
      </c>
      <c r="G135" s="23">
        <v>24</v>
      </c>
    </row>
    <row r="136" spans="1:7" x14ac:dyDescent="0.3">
      <c r="A136" s="24">
        <v>44745</v>
      </c>
      <c r="B136" s="23">
        <v>2022</v>
      </c>
      <c r="C136" s="23">
        <v>7</v>
      </c>
      <c r="D136" s="23" t="s">
        <v>22</v>
      </c>
      <c r="E136" s="23">
        <v>532</v>
      </c>
      <c r="F136" s="23">
        <v>2</v>
      </c>
      <c r="G136" s="23">
        <v>20</v>
      </c>
    </row>
    <row r="137" spans="1:7" x14ac:dyDescent="0.3">
      <c r="A137" s="24">
        <v>44745</v>
      </c>
      <c r="B137" s="23">
        <v>2022</v>
      </c>
      <c r="C137" s="23">
        <v>7</v>
      </c>
      <c r="D137" s="23" t="s">
        <v>22</v>
      </c>
      <c r="E137" s="23">
        <v>544</v>
      </c>
      <c r="F137" s="23">
        <v>2</v>
      </c>
      <c r="G137" s="23">
        <v>24</v>
      </c>
    </row>
    <row r="138" spans="1:7" x14ac:dyDescent="0.3">
      <c r="A138" s="24">
        <v>44747</v>
      </c>
      <c r="B138" s="23">
        <v>2022</v>
      </c>
      <c r="C138" s="23">
        <v>7</v>
      </c>
      <c r="D138" s="23" t="s">
        <v>22</v>
      </c>
      <c r="E138" s="23">
        <v>536</v>
      </c>
      <c r="F138" s="23">
        <v>5</v>
      </c>
      <c r="G138" s="23">
        <v>25</v>
      </c>
    </row>
    <row r="139" spans="1:7" x14ac:dyDescent="0.3">
      <c r="A139" s="24">
        <v>44747</v>
      </c>
      <c r="B139" s="23">
        <v>2022</v>
      </c>
      <c r="C139" s="23">
        <v>7</v>
      </c>
      <c r="D139" s="23" t="s">
        <v>22</v>
      </c>
      <c r="E139" s="23">
        <v>580</v>
      </c>
      <c r="F139" s="23">
        <v>3</v>
      </c>
      <c r="G139" s="23">
        <v>24</v>
      </c>
    </row>
    <row r="140" spans="1:7" x14ac:dyDescent="0.3">
      <c r="A140" s="24">
        <v>44749</v>
      </c>
      <c r="B140" s="23">
        <v>2022</v>
      </c>
      <c r="C140" s="23">
        <v>7</v>
      </c>
      <c r="D140" s="23" t="s">
        <v>22</v>
      </c>
      <c r="E140" s="23">
        <v>514</v>
      </c>
      <c r="F140" s="23">
        <v>8</v>
      </c>
      <c r="G140" s="23">
        <v>52</v>
      </c>
    </row>
    <row r="141" spans="1:7" x14ac:dyDescent="0.3">
      <c r="A141" s="24">
        <v>44749</v>
      </c>
      <c r="B141" s="23">
        <v>2022</v>
      </c>
      <c r="C141" s="23">
        <v>7</v>
      </c>
      <c r="D141" s="23" t="s">
        <v>22</v>
      </c>
      <c r="E141" s="23">
        <v>548</v>
      </c>
      <c r="F141" s="23">
        <v>10</v>
      </c>
      <c r="G141" s="23">
        <v>20</v>
      </c>
    </row>
    <row r="142" spans="1:7" x14ac:dyDescent="0.3">
      <c r="A142" s="24">
        <v>44752</v>
      </c>
      <c r="B142" s="23">
        <v>2022</v>
      </c>
      <c r="C142" s="23">
        <v>7</v>
      </c>
      <c r="D142" s="23" t="s">
        <v>22</v>
      </c>
      <c r="E142" s="23">
        <v>540</v>
      </c>
      <c r="F142" s="23">
        <v>5</v>
      </c>
      <c r="G142" s="23">
        <v>37.5</v>
      </c>
    </row>
    <row r="143" spans="1:7" x14ac:dyDescent="0.3">
      <c r="A143" s="24">
        <v>44752</v>
      </c>
      <c r="B143" s="23">
        <v>2022</v>
      </c>
      <c r="C143" s="23">
        <v>7</v>
      </c>
      <c r="D143" s="23" t="s">
        <v>22</v>
      </c>
      <c r="E143" s="23">
        <v>560</v>
      </c>
      <c r="F143" s="23">
        <v>5</v>
      </c>
      <c r="G143" s="23">
        <v>40</v>
      </c>
    </row>
    <row r="144" spans="1:7" x14ac:dyDescent="0.3">
      <c r="A144" s="24">
        <v>44754</v>
      </c>
      <c r="B144" s="23">
        <v>2022</v>
      </c>
      <c r="C144" s="23">
        <v>7</v>
      </c>
      <c r="D144" s="23" t="s">
        <v>22</v>
      </c>
      <c r="E144" s="23">
        <v>516</v>
      </c>
      <c r="F144" s="23">
        <v>7</v>
      </c>
      <c r="G144" s="23">
        <v>31.5</v>
      </c>
    </row>
    <row r="145" spans="1:7" x14ac:dyDescent="0.3">
      <c r="A145" s="24">
        <v>44754</v>
      </c>
      <c r="B145" s="23">
        <v>2022</v>
      </c>
      <c r="C145" s="23">
        <v>7</v>
      </c>
      <c r="D145" s="23" t="s">
        <v>22</v>
      </c>
      <c r="E145" s="23">
        <v>530</v>
      </c>
      <c r="F145" s="23">
        <v>5</v>
      </c>
      <c r="G145" s="23">
        <v>42.5</v>
      </c>
    </row>
    <row r="146" spans="1:7" x14ac:dyDescent="0.3">
      <c r="A146" s="24">
        <v>44756</v>
      </c>
      <c r="B146" s="23">
        <v>2022</v>
      </c>
      <c r="C146" s="23">
        <v>7</v>
      </c>
      <c r="D146" s="23" t="s">
        <v>22</v>
      </c>
      <c r="E146" s="23">
        <v>518</v>
      </c>
      <c r="F146" s="23">
        <v>4</v>
      </c>
      <c r="G146" s="23">
        <v>16</v>
      </c>
    </row>
    <row r="147" spans="1:7" x14ac:dyDescent="0.3">
      <c r="A147" s="24">
        <v>44756</v>
      </c>
      <c r="B147" s="23">
        <v>2022</v>
      </c>
      <c r="C147" s="23">
        <v>7</v>
      </c>
      <c r="D147" s="23" t="s">
        <v>22</v>
      </c>
      <c r="E147" s="23">
        <v>524</v>
      </c>
      <c r="F147" s="23">
        <v>3</v>
      </c>
      <c r="G147" s="23">
        <v>6</v>
      </c>
    </row>
    <row r="148" spans="1:7" x14ac:dyDescent="0.3">
      <c r="A148" s="24">
        <v>44766</v>
      </c>
      <c r="B148" s="23">
        <v>2022</v>
      </c>
      <c r="C148" s="23">
        <v>7</v>
      </c>
      <c r="D148" s="23" t="s">
        <v>22</v>
      </c>
      <c r="E148" s="23">
        <v>520</v>
      </c>
      <c r="F148" s="23">
        <v>6</v>
      </c>
      <c r="G148" s="23">
        <v>24</v>
      </c>
    </row>
    <row r="149" spans="1:7" x14ac:dyDescent="0.3">
      <c r="A149" s="24">
        <v>44766</v>
      </c>
      <c r="B149" s="23">
        <v>2022</v>
      </c>
      <c r="C149" s="23">
        <v>7</v>
      </c>
      <c r="D149" s="23" t="s">
        <v>22</v>
      </c>
      <c r="E149" s="23">
        <v>580</v>
      </c>
      <c r="F149" s="23">
        <v>6</v>
      </c>
      <c r="G149" s="23">
        <v>48</v>
      </c>
    </row>
    <row r="150" spans="1:7" x14ac:dyDescent="0.3">
      <c r="A150" s="24">
        <v>44768</v>
      </c>
      <c r="B150" s="23">
        <v>2022</v>
      </c>
      <c r="C150" s="23">
        <v>7</v>
      </c>
      <c r="D150" s="23" t="s">
        <v>22</v>
      </c>
      <c r="E150" s="23">
        <v>522</v>
      </c>
      <c r="F150" s="23">
        <v>6</v>
      </c>
      <c r="G150" s="23">
        <v>24</v>
      </c>
    </row>
    <row r="151" spans="1:7" x14ac:dyDescent="0.3">
      <c r="A151" s="24">
        <v>44768</v>
      </c>
      <c r="B151" s="23">
        <v>2022</v>
      </c>
      <c r="C151" s="23">
        <v>7</v>
      </c>
      <c r="D151" s="23" t="s">
        <v>22</v>
      </c>
      <c r="E151" s="23">
        <v>510</v>
      </c>
      <c r="F151" s="23">
        <v>6</v>
      </c>
      <c r="G151" s="23">
        <v>36</v>
      </c>
    </row>
    <row r="152" spans="1:7" x14ac:dyDescent="0.3">
      <c r="A152" s="24">
        <v>44770</v>
      </c>
      <c r="B152" s="23">
        <v>2022</v>
      </c>
      <c r="C152" s="23">
        <v>7</v>
      </c>
      <c r="D152" s="23" t="s">
        <v>22</v>
      </c>
      <c r="E152" s="23">
        <v>562</v>
      </c>
      <c r="F152" s="23">
        <v>5</v>
      </c>
      <c r="G152" s="23">
        <v>25</v>
      </c>
    </row>
    <row r="153" spans="1:7" x14ac:dyDescent="0.3">
      <c r="A153" s="24">
        <v>44770</v>
      </c>
      <c r="B153" s="23">
        <v>2022</v>
      </c>
      <c r="C153" s="23">
        <v>7</v>
      </c>
      <c r="D153" s="23" t="s">
        <v>22</v>
      </c>
      <c r="E153" s="23">
        <v>510</v>
      </c>
      <c r="F153" s="23">
        <v>6</v>
      </c>
      <c r="G153" s="23">
        <v>36</v>
      </c>
    </row>
    <row r="154" spans="1:7" x14ac:dyDescent="0.3">
      <c r="A154" s="24">
        <v>44771</v>
      </c>
      <c r="B154" s="23">
        <v>2022</v>
      </c>
      <c r="C154" s="23">
        <v>7</v>
      </c>
      <c r="D154" s="23" t="s">
        <v>22</v>
      </c>
      <c r="E154" s="23">
        <v>532</v>
      </c>
      <c r="F154" s="23">
        <v>2</v>
      </c>
      <c r="G154" s="23">
        <v>20</v>
      </c>
    </row>
    <row r="155" spans="1:7" x14ac:dyDescent="0.3">
      <c r="A155" s="24">
        <v>44771</v>
      </c>
      <c r="B155" s="23">
        <v>2022</v>
      </c>
      <c r="C155" s="23">
        <v>7</v>
      </c>
      <c r="D155" s="23" t="s">
        <v>22</v>
      </c>
      <c r="E155" s="23">
        <v>544</v>
      </c>
      <c r="F155" s="23">
        <v>2</v>
      </c>
      <c r="G155" s="23">
        <v>24</v>
      </c>
    </row>
    <row r="156" spans="1:7" x14ac:dyDescent="0.3">
      <c r="A156" s="24">
        <v>44771</v>
      </c>
      <c r="B156" s="23">
        <v>2022</v>
      </c>
      <c r="C156" s="23">
        <v>7</v>
      </c>
      <c r="D156" s="23" t="s">
        <v>22</v>
      </c>
      <c r="E156" s="23">
        <v>536</v>
      </c>
      <c r="F156" s="23">
        <v>5</v>
      </c>
      <c r="G156" s="23">
        <v>25</v>
      </c>
    </row>
    <row r="157" spans="1:7" x14ac:dyDescent="0.3">
      <c r="A157" s="24">
        <v>44771</v>
      </c>
      <c r="B157" s="23">
        <v>2022</v>
      </c>
      <c r="C157" s="23">
        <v>7</v>
      </c>
      <c r="D157" s="23" t="s">
        <v>22</v>
      </c>
      <c r="E157" s="23">
        <v>580</v>
      </c>
      <c r="F157" s="23">
        <v>3</v>
      </c>
      <c r="G157" s="23">
        <v>24</v>
      </c>
    </row>
    <row r="158" spans="1:7" x14ac:dyDescent="0.3">
      <c r="A158" s="24">
        <v>44774</v>
      </c>
      <c r="B158" s="23">
        <v>2022</v>
      </c>
      <c r="C158" s="23">
        <v>8</v>
      </c>
      <c r="D158" s="23" t="s">
        <v>23</v>
      </c>
      <c r="E158" s="23">
        <v>532</v>
      </c>
      <c r="F158" s="23">
        <v>2</v>
      </c>
      <c r="G158" s="23">
        <v>20</v>
      </c>
    </row>
    <row r="159" spans="1:7" x14ac:dyDescent="0.3">
      <c r="A159" s="24">
        <v>44774</v>
      </c>
      <c r="B159" s="23">
        <v>2022</v>
      </c>
      <c r="C159" s="23">
        <v>8</v>
      </c>
      <c r="D159" s="23" t="s">
        <v>23</v>
      </c>
      <c r="E159" s="23">
        <v>544</v>
      </c>
      <c r="F159" s="23">
        <v>2</v>
      </c>
      <c r="G159" s="23">
        <v>24</v>
      </c>
    </row>
    <row r="160" spans="1:7" x14ac:dyDescent="0.3">
      <c r="A160" s="24">
        <v>44776</v>
      </c>
      <c r="B160" s="23">
        <v>2022</v>
      </c>
      <c r="C160" s="23">
        <v>8</v>
      </c>
      <c r="D160" s="23" t="s">
        <v>23</v>
      </c>
      <c r="E160" s="23">
        <v>536</v>
      </c>
      <c r="F160" s="23">
        <v>5</v>
      </c>
      <c r="G160" s="23">
        <v>25</v>
      </c>
    </row>
    <row r="161" spans="1:7" x14ac:dyDescent="0.3">
      <c r="A161" s="24">
        <v>44776</v>
      </c>
      <c r="B161" s="23">
        <v>2022</v>
      </c>
      <c r="C161" s="23">
        <v>8</v>
      </c>
      <c r="D161" s="23" t="s">
        <v>23</v>
      </c>
      <c r="E161" s="23">
        <v>580</v>
      </c>
      <c r="F161" s="23">
        <v>3</v>
      </c>
      <c r="G161" s="23">
        <v>24</v>
      </c>
    </row>
    <row r="162" spans="1:7" x14ac:dyDescent="0.3">
      <c r="A162" s="24">
        <v>44778</v>
      </c>
      <c r="B162" s="23">
        <v>2022</v>
      </c>
      <c r="C162" s="23">
        <v>8</v>
      </c>
      <c r="D162" s="23" t="s">
        <v>23</v>
      </c>
      <c r="E162" s="23">
        <v>514</v>
      </c>
      <c r="F162" s="23">
        <v>9</v>
      </c>
      <c r="G162" s="23">
        <v>58.5</v>
      </c>
    </row>
    <row r="163" spans="1:7" x14ac:dyDescent="0.3">
      <c r="A163" s="24">
        <v>44778</v>
      </c>
      <c r="B163" s="23">
        <v>2022</v>
      </c>
      <c r="C163" s="23">
        <v>8</v>
      </c>
      <c r="D163" s="23" t="s">
        <v>23</v>
      </c>
      <c r="E163" s="23">
        <v>548</v>
      </c>
      <c r="F163" s="23">
        <v>10</v>
      </c>
      <c r="G163" s="23">
        <v>20</v>
      </c>
    </row>
    <row r="164" spans="1:7" x14ac:dyDescent="0.3">
      <c r="A164" s="24">
        <v>44781</v>
      </c>
      <c r="B164" s="23">
        <v>2022</v>
      </c>
      <c r="C164" s="23">
        <v>8</v>
      </c>
      <c r="D164" s="23" t="s">
        <v>23</v>
      </c>
      <c r="E164" s="23">
        <v>540</v>
      </c>
      <c r="F164" s="23">
        <v>5</v>
      </c>
      <c r="G164" s="23">
        <v>37.5</v>
      </c>
    </row>
    <row r="165" spans="1:7" x14ac:dyDescent="0.3">
      <c r="A165" s="24">
        <v>44781</v>
      </c>
      <c r="B165" s="23">
        <v>2022</v>
      </c>
      <c r="C165" s="23">
        <v>8</v>
      </c>
      <c r="D165" s="23" t="s">
        <v>23</v>
      </c>
      <c r="E165" s="23">
        <v>560</v>
      </c>
      <c r="F165" s="23">
        <v>5</v>
      </c>
      <c r="G165" s="23">
        <v>40</v>
      </c>
    </row>
    <row r="166" spans="1:7" x14ac:dyDescent="0.3">
      <c r="A166" s="24">
        <v>44783</v>
      </c>
      <c r="B166" s="23">
        <v>2022</v>
      </c>
      <c r="C166" s="23">
        <v>8</v>
      </c>
      <c r="D166" s="23" t="s">
        <v>23</v>
      </c>
      <c r="E166" s="23">
        <v>516</v>
      </c>
      <c r="F166" s="23">
        <v>7</v>
      </c>
      <c r="G166" s="23">
        <v>31.5</v>
      </c>
    </row>
    <row r="167" spans="1:7" x14ac:dyDescent="0.3">
      <c r="A167" s="24">
        <v>44783</v>
      </c>
      <c r="B167" s="23">
        <v>2022</v>
      </c>
      <c r="C167" s="23">
        <v>8</v>
      </c>
      <c r="D167" s="23" t="s">
        <v>23</v>
      </c>
      <c r="E167" s="23">
        <v>530</v>
      </c>
      <c r="F167" s="23">
        <v>5</v>
      </c>
      <c r="G167" s="23">
        <v>42.5</v>
      </c>
    </row>
    <row r="168" spans="1:7" x14ac:dyDescent="0.3">
      <c r="A168" s="24">
        <v>44785</v>
      </c>
      <c r="B168" s="23">
        <v>2022</v>
      </c>
      <c r="C168" s="23">
        <v>8</v>
      </c>
      <c r="D168" s="23" t="s">
        <v>23</v>
      </c>
      <c r="E168" s="23">
        <v>518</v>
      </c>
      <c r="F168" s="23">
        <v>4</v>
      </c>
      <c r="G168" s="23">
        <v>16</v>
      </c>
    </row>
    <row r="169" spans="1:7" x14ac:dyDescent="0.3">
      <c r="A169" s="24">
        <v>44785</v>
      </c>
      <c r="B169" s="23">
        <v>2022</v>
      </c>
      <c r="C169" s="23">
        <v>8</v>
      </c>
      <c r="D169" s="23" t="s">
        <v>23</v>
      </c>
      <c r="E169" s="23">
        <v>524</v>
      </c>
      <c r="F169" s="23">
        <v>3</v>
      </c>
      <c r="G169" s="23">
        <v>6</v>
      </c>
    </row>
    <row r="170" spans="1:7" x14ac:dyDescent="0.3">
      <c r="A170" s="24">
        <v>44795</v>
      </c>
      <c r="B170" s="23">
        <v>2022</v>
      </c>
      <c r="C170" s="23">
        <v>8</v>
      </c>
      <c r="D170" s="23" t="s">
        <v>23</v>
      </c>
      <c r="E170" s="23">
        <v>520</v>
      </c>
      <c r="F170" s="23">
        <v>6</v>
      </c>
      <c r="G170" s="23">
        <v>24</v>
      </c>
    </row>
    <row r="171" spans="1:7" x14ac:dyDescent="0.3">
      <c r="A171" s="24">
        <v>44795</v>
      </c>
      <c r="B171" s="23">
        <v>2022</v>
      </c>
      <c r="C171" s="23">
        <v>8</v>
      </c>
      <c r="D171" s="23" t="s">
        <v>23</v>
      </c>
      <c r="E171" s="23">
        <v>580</v>
      </c>
      <c r="F171" s="23">
        <v>4</v>
      </c>
      <c r="G171" s="23">
        <v>32</v>
      </c>
    </row>
    <row r="172" spans="1:7" x14ac:dyDescent="0.3">
      <c r="A172" s="24">
        <v>44796</v>
      </c>
      <c r="B172" s="23">
        <v>2022</v>
      </c>
      <c r="C172" s="23">
        <v>8</v>
      </c>
      <c r="D172" s="23" t="s">
        <v>23</v>
      </c>
      <c r="E172" s="23">
        <v>510</v>
      </c>
      <c r="F172" s="23">
        <v>6</v>
      </c>
      <c r="G172" s="23">
        <v>36</v>
      </c>
    </row>
    <row r="173" spans="1:7" x14ac:dyDescent="0.3">
      <c r="A173" s="24">
        <v>44796</v>
      </c>
      <c r="B173" s="23">
        <v>2022</v>
      </c>
      <c r="C173" s="23">
        <v>8</v>
      </c>
      <c r="D173" s="23" t="s">
        <v>23</v>
      </c>
      <c r="E173" s="23">
        <v>532</v>
      </c>
      <c r="F173" s="23">
        <v>2</v>
      </c>
      <c r="G173" s="23">
        <v>20</v>
      </c>
    </row>
    <row r="174" spans="1:7" x14ac:dyDescent="0.3">
      <c r="A174" s="24">
        <v>44796</v>
      </c>
      <c r="B174" s="23">
        <v>2022</v>
      </c>
      <c r="C174" s="23">
        <v>8</v>
      </c>
      <c r="D174" s="23" t="s">
        <v>23</v>
      </c>
      <c r="E174" s="23">
        <v>544</v>
      </c>
      <c r="F174" s="23">
        <v>2</v>
      </c>
      <c r="G174" s="23">
        <v>24</v>
      </c>
    </row>
    <row r="175" spans="1:7" x14ac:dyDescent="0.3">
      <c r="A175" s="24">
        <v>44796</v>
      </c>
      <c r="B175" s="23">
        <v>2022</v>
      </c>
      <c r="C175" s="23">
        <v>8</v>
      </c>
      <c r="D175" s="23" t="s">
        <v>23</v>
      </c>
      <c r="E175" s="23">
        <v>536</v>
      </c>
      <c r="F175" s="23">
        <v>5</v>
      </c>
      <c r="G175" s="23">
        <v>25</v>
      </c>
    </row>
    <row r="176" spans="1:7" x14ac:dyDescent="0.3">
      <c r="A176" s="24">
        <v>44796</v>
      </c>
      <c r="B176" s="23">
        <v>2022</v>
      </c>
      <c r="C176" s="23">
        <v>8</v>
      </c>
      <c r="D176" s="23" t="s">
        <v>23</v>
      </c>
      <c r="E176" s="23">
        <v>580</v>
      </c>
      <c r="F176" s="23">
        <v>3</v>
      </c>
      <c r="G176" s="23">
        <v>24</v>
      </c>
    </row>
    <row r="177" spans="1:7" x14ac:dyDescent="0.3">
      <c r="A177" s="24">
        <v>44797</v>
      </c>
      <c r="B177" s="23">
        <v>2022</v>
      </c>
      <c r="C177" s="23">
        <v>8</v>
      </c>
      <c r="D177" s="23" t="s">
        <v>23</v>
      </c>
      <c r="E177" s="23">
        <v>522</v>
      </c>
      <c r="F177" s="23">
        <v>6</v>
      </c>
      <c r="G177" s="23">
        <v>24</v>
      </c>
    </row>
    <row r="178" spans="1:7" x14ac:dyDescent="0.3">
      <c r="A178" s="24">
        <v>44797</v>
      </c>
      <c r="B178" s="23">
        <v>2022</v>
      </c>
      <c r="C178" s="23">
        <v>8</v>
      </c>
      <c r="D178" s="23" t="s">
        <v>23</v>
      </c>
      <c r="E178" s="23">
        <v>510</v>
      </c>
      <c r="F178" s="23">
        <v>6</v>
      </c>
      <c r="G178" s="23">
        <v>36</v>
      </c>
    </row>
    <row r="179" spans="1:7" x14ac:dyDescent="0.3">
      <c r="A179" s="24">
        <v>44799</v>
      </c>
      <c r="B179" s="23">
        <v>2022</v>
      </c>
      <c r="C179" s="23">
        <v>8</v>
      </c>
      <c r="D179" s="23" t="s">
        <v>23</v>
      </c>
      <c r="E179" s="23">
        <v>562</v>
      </c>
      <c r="F179" s="23">
        <v>5</v>
      </c>
      <c r="G179" s="23">
        <v>25</v>
      </c>
    </row>
    <row r="180" spans="1:7" x14ac:dyDescent="0.3">
      <c r="A180" s="24">
        <v>44799</v>
      </c>
      <c r="B180" s="23">
        <v>2022</v>
      </c>
      <c r="C180" s="23">
        <v>8</v>
      </c>
      <c r="D180" s="23" t="s">
        <v>23</v>
      </c>
      <c r="E180" s="23">
        <v>510</v>
      </c>
      <c r="F180" s="23">
        <v>6</v>
      </c>
      <c r="G180" s="23">
        <v>36</v>
      </c>
    </row>
    <row r="181" spans="1:7" x14ac:dyDescent="0.3">
      <c r="A181" s="24">
        <v>44809</v>
      </c>
      <c r="B181" s="23">
        <v>2022</v>
      </c>
      <c r="C181" s="23">
        <v>9</v>
      </c>
      <c r="D181" s="23" t="s">
        <v>24</v>
      </c>
      <c r="E181" s="23">
        <v>532</v>
      </c>
      <c r="F181" s="23">
        <v>2</v>
      </c>
      <c r="G181" s="23">
        <v>20</v>
      </c>
    </row>
    <row r="182" spans="1:7" x14ac:dyDescent="0.3">
      <c r="A182" s="24">
        <v>44809</v>
      </c>
      <c r="B182" s="23">
        <v>2022</v>
      </c>
      <c r="C182" s="23">
        <v>9</v>
      </c>
      <c r="D182" s="23" t="s">
        <v>24</v>
      </c>
      <c r="E182" s="23">
        <v>544</v>
      </c>
      <c r="F182" s="23">
        <v>3</v>
      </c>
      <c r="G182" s="23">
        <v>36</v>
      </c>
    </row>
    <row r="183" spans="1:7" x14ac:dyDescent="0.3">
      <c r="A183" s="24">
        <v>44811</v>
      </c>
      <c r="B183" s="23">
        <v>2022</v>
      </c>
      <c r="C183" s="23">
        <v>9</v>
      </c>
      <c r="D183" s="23" t="s">
        <v>24</v>
      </c>
      <c r="E183" s="23">
        <v>536</v>
      </c>
      <c r="F183" s="23">
        <v>5</v>
      </c>
      <c r="G183" s="23">
        <v>25</v>
      </c>
    </row>
    <row r="184" spans="1:7" x14ac:dyDescent="0.3">
      <c r="A184" s="24">
        <v>44811</v>
      </c>
      <c r="B184" s="23">
        <v>2022</v>
      </c>
      <c r="C184" s="23">
        <v>9</v>
      </c>
      <c r="D184" s="23" t="s">
        <v>24</v>
      </c>
      <c r="E184" s="23">
        <v>580</v>
      </c>
      <c r="F184" s="23">
        <v>3</v>
      </c>
      <c r="G184" s="23">
        <v>24</v>
      </c>
    </row>
    <row r="185" spans="1:7" x14ac:dyDescent="0.3">
      <c r="A185" s="24">
        <v>44813</v>
      </c>
      <c r="B185" s="23">
        <v>2022</v>
      </c>
      <c r="C185" s="23">
        <v>9</v>
      </c>
      <c r="D185" s="23" t="s">
        <v>24</v>
      </c>
      <c r="E185" s="23">
        <v>514</v>
      </c>
      <c r="F185" s="23">
        <v>7</v>
      </c>
      <c r="G185" s="23">
        <v>45.5</v>
      </c>
    </row>
    <row r="186" spans="1:7" x14ac:dyDescent="0.3">
      <c r="A186" s="24">
        <v>44813</v>
      </c>
      <c r="B186" s="23">
        <v>2022</v>
      </c>
      <c r="C186" s="23">
        <v>9</v>
      </c>
      <c r="D186" s="23" t="s">
        <v>24</v>
      </c>
      <c r="E186" s="23">
        <v>548</v>
      </c>
      <c r="F186" s="23">
        <v>10</v>
      </c>
      <c r="G186" s="23">
        <v>20</v>
      </c>
    </row>
    <row r="187" spans="1:7" x14ac:dyDescent="0.3">
      <c r="A187" s="24">
        <v>44816</v>
      </c>
      <c r="B187" s="23">
        <v>2022</v>
      </c>
      <c r="C187" s="23">
        <v>9</v>
      </c>
      <c r="D187" s="23" t="s">
        <v>24</v>
      </c>
      <c r="E187" s="23">
        <v>540</v>
      </c>
      <c r="F187" s="23">
        <v>5</v>
      </c>
      <c r="G187" s="23">
        <v>37.5</v>
      </c>
    </row>
    <row r="188" spans="1:7" x14ac:dyDescent="0.3">
      <c r="A188" s="24">
        <v>44816</v>
      </c>
      <c r="B188" s="23">
        <v>2022</v>
      </c>
      <c r="C188" s="23">
        <v>9</v>
      </c>
      <c r="D188" s="23" t="s">
        <v>24</v>
      </c>
      <c r="E188" s="23">
        <v>560</v>
      </c>
      <c r="F188" s="23">
        <v>5</v>
      </c>
      <c r="G188" s="23">
        <v>40</v>
      </c>
    </row>
    <row r="189" spans="1:7" x14ac:dyDescent="0.3">
      <c r="A189" s="24">
        <v>44818</v>
      </c>
      <c r="B189" s="23">
        <v>2022</v>
      </c>
      <c r="C189" s="23">
        <v>9</v>
      </c>
      <c r="D189" s="23" t="s">
        <v>24</v>
      </c>
      <c r="E189" s="23">
        <v>516</v>
      </c>
      <c r="F189" s="23">
        <v>7</v>
      </c>
      <c r="G189" s="23">
        <v>31.5</v>
      </c>
    </row>
    <row r="190" spans="1:7" x14ac:dyDescent="0.3">
      <c r="A190" s="24">
        <v>44818</v>
      </c>
      <c r="B190" s="23">
        <v>2022</v>
      </c>
      <c r="C190" s="23">
        <v>9</v>
      </c>
      <c r="D190" s="23" t="s">
        <v>24</v>
      </c>
      <c r="E190" s="23">
        <v>530</v>
      </c>
      <c r="F190" s="23">
        <v>5</v>
      </c>
      <c r="G190" s="23">
        <v>42.5</v>
      </c>
    </row>
    <row r="191" spans="1:7" x14ac:dyDescent="0.3">
      <c r="A191" s="24">
        <v>44820</v>
      </c>
      <c r="B191" s="23">
        <v>2022</v>
      </c>
      <c r="C191" s="23">
        <v>9</v>
      </c>
      <c r="D191" s="23" t="s">
        <v>24</v>
      </c>
      <c r="E191" s="23">
        <v>518</v>
      </c>
      <c r="F191" s="23">
        <v>4</v>
      </c>
      <c r="G191" s="23">
        <v>16</v>
      </c>
    </row>
    <row r="192" spans="1:7" x14ac:dyDescent="0.3">
      <c r="A192" s="24">
        <v>44820</v>
      </c>
      <c r="B192" s="23">
        <v>2022</v>
      </c>
      <c r="C192" s="23">
        <v>9</v>
      </c>
      <c r="D192" s="23" t="s">
        <v>24</v>
      </c>
      <c r="E192" s="23">
        <v>524</v>
      </c>
      <c r="F192" s="23">
        <v>3</v>
      </c>
      <c r="G192" s="23">
        <v>6</v>
      </c>
    </row>
    <row r="193" spans="1:7" x14ac:dyDescent="0.3">
      <c r="A193" s="24">
        <v>44830</v>
      </c>
      <c r="B193" s="23">
        <v>2022</v>
      </c>
      <c r="C193" s="23">
        <v>9</v>
      </c>
      <c r="D193" s="23" t="s">
        <v>24</v>
      </c>
      <c r="E193" s="23">
        <v>520</v>
      </c>
      <c r="F193" s="23">
        <v>6</v>
      </c>
      <c r="G193" s="23">
        <v>24</v>
      </c>
    </row>
    <row r="194" spans="1:7" x14ac:dyDescent="0.3">
      <c r="A194" s="24">
        <v>44830</v>
      </c>
      <c r="B194" s="23">
        <v>2022</v>
      </c>
      <c r="C194" s="23">
        <v>9</v>
      </c>
      <c r="D194" s="23" t="s">
        <v>24</v>
      </c>
      <c r="E194" s="23">
        <v>542</v>
      </c>
      <c r="F194" s="23">
        <v>4</v>
      </c>
      <c r="G194" s="23">
        <v>40</v>
      </c>
    </row>
    <row r="195" spans="1:7" x14ac:dyDescent="0.3">
      <c r="A195" s="24">
        <v>44832</v>
      </c>
      <c r="B195" s="23">
        <v>2022</v>
      </c>
      <c r="C195" s="23">
        <v>9</v>
      </c>
      <c r="D195" s="23" t="s">
        <v>24</v>
      </c>
      <c r="E195" s="23">
        <v>522</v>
      </c>
      <c r="F195" s="23">
        <v>6</v>
      </c>
      <c r="G195" s="23">
        <v>24</v>
      </c>
    </row>
    <row r="196" spans="1:7" x14ac:dyDescent="0.3">
      <c r="A196" s="24">
        <v>44832</v>
      </c>
      <c r="B196" s="23">
        <v>2022</v>
      </c>
      <c r="C196" s="23">
        <v>9</v>
      </c>
      <c r="D196" s="23" t="s">
        <v>24</v>
      </c>
      <c r="E196" s="23">
        <v>510</v>
      </c>
      <c r="F196" s="23">
        <v>6</v>
      </c>
      <c r="G196" s="23">
        <v>36</v>
      </c>
    </row>
    <row r="197" spans="1:7" x14ac:dyDescent="0.3">
      <c r="A197" s="24">
        <v>44834</v>
      </c>
      <c r="B197" s="23">
        <v>2022</v>
      </c>
      <c r="C197" s="23">
        <v>9</v>
      </c>
      <c r="D197" s="23" t="s">
        <v>24</v>
      </c>
      <c r="E197" s="23">
        <v>562</v>
      </c>
      <c r="F197" s="23">
        <v>5</v>
      </c>
      <c r="G197" s="23">
        <v>25</v>
      </c>
    </row>
    <row r="198" spans="1:7" x14ac:dyDescent="0.3">
      <c r="A198" s="24">
        <v>44834</v>
      </c>
      <c r="B198" s="23">
        <v>2022</v>
      </c>
      <c r="C198" s="23">
        <v>9</v>
      </c>
      <c r="D198" s="23" t="s">
        <v>24</v>
      </c>
      <c r="E198" s="23">
        <v>510</v>
      </c>
      <c r="F198" s="23">
        <v>6</v>
      </c>
      <c r="G198" s="23">
        <v>36</v>
      </c>
    </row>
    <row r="199" spans="1:7" x14ac:dyDescent="0.3">
      <c r="A199" s="24">
        <v>44837</v>
      </c>
      <c r="B199" s="23">
        <v>2022</v>
      </c>
      <c r="C199" s="23">
        <v>10</v>
      </c>
      <c r="D199" s="23" t="s">
        <v>25</v>
      </c>
      <c r="E199" s="23">
        <v>532</v>
      </c>
      <c r="F199" s="23">
        <v>3</v>
      </c>
      <c r="G199" s="23">
        <v>30</v>
      </c>
    </row>
    <row r="200" spans="1:7" x14ac:dyDescent="0.3">
      <c r="A200" s="24">
        <v>44837</v>
      </c>
      <c r="B200" s="23">
        <v>2022</v>
      </c>
      <c r="C200" s="23">
        <v>10</v>
      </c>
      <c r="D200" s="23" t="s">
        <v>25</v>
      </c>
      <c r="E200" s="23">
        <v>544</v>
      </c>
      <c r="F200" s="23">
        <v>4</v>
      </c>
      <c r="G200" s="23">
        <v>48</v>
      </c>
    </row>
    <row r="201" spans="1:7" x14ac:dyDescent="0.3">
      <c r="A201" s="24">
        <v>44839</v>
      </c>
      <c r="B201" s="23">
        <v>2022</v>
      </c>
      <c r="C201" s="23">
        <v>10</v>
      </c>
      <c r="D201" s="23" t="s">
        <v>25</v>
      </c>
      <c r="E201" s="23">
        <v>536</v>
      </c>
      <c r="F201" s="23">
        <v>5</v>
      </c>
      <c r="G201" s="23">
        <v>25</v>
      </c>
    </row>
    <row r="202" spans="1:7" x14ac:dyDescent="0.3">
      <c r="A202" s="24">
        <v>44839</v>
      </c>
      <c r="B202" s="23">
        <v>2022</v>
      </c>
      <c r="C202" s="23">
        <v>10</v>
      </c>
      <c r="D202" s="23" t="s">
        <v>25</v>
      </c>
      <c r="E202" s="23">
        <v>542</v>
      </c>
      <c r="F202" s="23">
        <v>1</v>
      </c>
      <c r="G202" s="23">
        <v>10</v>
      </c>
    </row>
    <row r="203" spans="1:7" x14ac:dyDescent="0.3">
      <c r="A203" s="24">
        <v>44841</v>
      </c>
      <c r="B203" s="23">
        <v>2022</v>
      </c>
      <c r="C203" s="23">
        <v>10</v>
      </c>
      <c r="D203" s="23" t="s">
        <v>25</v>
      </c>
      <c r="E203" s="23">
        <v>514</v>
      </c>
      <c r="F203" s="23">
        <v>6</v>
      </c>
      <c r="G203" s="23">
        <v>39</v>
      </c>
    </row>
    <row r="204" spans="1:7" x14ac:dyDescent="0.3">
      <c r="A204" s="24">
        <v>44841</v>
      </c>
      <c r="B204" s="23">
        <v>2022</v>
      </c>
      <c r="C204" s="23">
        <v>10</v>
      </c>
      <c r="D204" s="23" t="s">
        <v>25</v>
      </c>
      <c r="E204" s="23">
        <v>548</v>
      </c>
      <c r="F204" s="23">
        <v>10</v>
      </c>
      <c r="G204" s="23">
        <v>20</v>
      </c>
    </row>
    <row r="205" spans="1:7" x14ac:dyDescent="0.3">
      <c r="A205" s="24">
        <v>44842</v>
      </c>
      <c r="B205" s="23">
        <v>2022</v>
      </c>
      <c r="C205" s="23">
        <v>10</v>
      </c>
      <c r="D205" s="23" t="s">
        <v>25</v>
      </c>
      <c r="E205" s="23">
        <v>580</v>
      </c>
      <c r="F205" s="23">
        <v>7</v>
      </c>
      <c r="G205" s="23">
        <v>56</v>
      </c>
    </row>
    <row r="206" spans="1:7" x14ac:dyDescent="0.3">
      <c r="A206" s="24">
        <v>44842</v>
      </c>
      <c r="B206" s="23">
        <v>2022</v>
      </c>
      <c r="C206" s="23">
        <v>10</v>
      </c>
      <c r="D206" s="23" t="s">
        <v>25</v>
      </c>
      <c r="E206" s="23">
        <v>522</v>
      </c>
      <c r="F206" s="23">
        <v>5</v>
      </c>
      <c r="G206" s="23">
        <v>20</v>
      </c>
    </row>
    <row r="207" spans="1:7" x14ac:dyDescent="0.3">
      <c r="A207" s="24">
        <v>44842</v>
      </c>
      <c r="B207" s="23">
        <v>2022</v>
      </c>
      <c r="C207" s="23">
        <v>10</v>
      </c>
      <c r="D207" s="23" t="s">
        <v>25</v>
      </c>
      <c r="E207" s="23">
        <v>524</v>
      </c>
      <c r="F207" s="23">
        <v>3</v>
      </c>
      <c r="G207" s="23">
        <v>6</v>
      </c>
    </row>
    <row r="208" spans="1:7" x14ac:dyDescent="0.3">
      <c r="A208" s="24">
        <v>44842</v>
      </c>
      <c r="B208" s="23">
        <v>2022</v>
      </c>
      <c r="C208" s="23">
        <v>10</v>
      </c>
      <c r="D208" s="23" t="s">
        <v>25</v>
      </c>
      <c r="E208" s="23">
        <v>530</v>
      </c>
      <c r="F208" s="23">
        <v>6</v>
      </c>
      <c r="G208" s="23">
        <v>51</v>
      </c>
    </row>
    <row r="209" spans="1:7" x14ac:dyDescent="0.3">
      <c r="A209" s="24">
        <v>44842</v>
      </c>
      <c r="B209" s="23">
        <v>2022</v>
      </c>
      <c r="C209" s="23">
        <v>10</v>
      </c>
      <c r="D209" s="23" t="s">
        <v>25</v>
      </c>
      <c r="E209" s="23">
        <v>540</v>
      </c>
      <c r="F209" s="23">
        <v>5</v>
      </c>
      <c r="G209" s="23">
        <v>37.5</v>
      </c>
    </row>
    <row r="210" spans="1:7" x14ac:dyDescent="0.3">
      <c r="A210" s="24">
        <v>44844</v>
      </c>
      <c r="B210" s="23">
        <v>2022</v>
      </c>
      <c r="C210" s="23">
        <v>10</v>
      </c>
      <c r="D210" s="23" t="s">
        <v>25</v>
      </c>
      <c r="E210" s="23">
        <v>540</v>
      </c>
      <c r="F210" s="23">
        <v>5</v>
      </c>
      <c r="G210" s="23">
        <v>37.5</v>
      </c>
    </row>
    <row r="211" spans="1:7" x14ac:dyDescent="0.3">
      <c r="A211" s="24">
        <v>44844</v>
      </c>
      <c r="B211" s="23">
        <v>2022</v>
      </c>
      <c r="C211" s="23">
        <v>10</v>
      </c>
      <c r="D211" s="23" t="s">
        <v>25</v>
      </c>
      <c r="E211" s="23">
        <v>560</v>
      </c>
      <c r="F211" s="23">
        <v>5</v>
      </c>
      <c r="G211" s="23">
        <v>40</v>
      </c>
    </row>
    <row r="212" spans="1:7" x14ac:dyDescent="0.3">
      <c r="A212" s="24">
        <v>44846</v>
      </c>
      <c r="B212" s="23">
        <v>2022</v>
      </c>
      <c r="C212" s="23">
        <v>10</v>
      </c>
      <c r="D212" s="23" t="s">
        <v>25</v>
      </c>
      <c r="E212" s="23">
        <v>516</v>
      </c>
      <c r="F212" s="23">
        <v>7</v>
      </c>
      <c r="G212" s="23">
        <v>31.5</v>
      </c>
    </row>
    <row r="213" spans="1:7" x14ac:dyDescent="0.3">
      <c r="A213" s="24">
        <v>44846</v>
      </c>
      <c r="B213" s="23">
        <v>2022</v>
      </c>
      <c r="C213" s="23">
        <v>10</v>
      </c>
      <c r="D213" s="23" t="s">
        <v>25</v>
      </c>
      <c r="E213" s="23">
        <v>530</v>
      </c>
      <c r="F213" s="23">
        <v>5</v>
      </c>
      <c r="G213" s="23">
        <v>42.5</v>
      </c>
    </row>
    <row r="214" spans="1:7" x14ac:dyDescent="0.3">
      <c r="A214" s="24">
        <v>44848</v>
      </c>
      <c r="B214" s="23">
        <v>2022</v>
      </c>
      <c r="C214" s="23">
        <v>10</v>
      </c>
      <c r="D214" s="23" t="s">
        <v>25</v>
      </c>
      <c r="E214" s="23">
        <v>518</v>
      </c>
      <c r="F214" s="23">
        <v>4</v>
      </c>
      <c r="G214" s="23">
        <v>16</v>
      </c>
    </row>
    <row r="215" spans="1:7" x14ac:dyDescent="0.3">
      <c r="A215" s="24">
        <v>44848</v>
      </c>
      <c r="B215" s="23">
        <v>2022</v>
      </c>
      <c r="C215" s="23">
        <v>10</v>
      </c>
      <c r="D215" s="23" t="s">
        <v>25</v>
      </c>
      <c r="E215" s="23">
        <v>524</v>
      </c>
      <c r="F215" s="23">
        <v>3</v>
      </c>
      <c r="G215" s="23">
        <v>6</v>
      </c>
    </row>
    <row r="216" spans="1:7" x14ac:dyDescent="0.3">
      <c r="A216" s="24">
        <v>44858</v>
      </c>
      <c r="B216" s="23">
        <v>2022</v>
      </c>
      <c r="C216" s="23">
        <v>10</v>
      </c>
      <c r="D216" s="23" t="s">
        <v>25</v>
      </c>
      <c r="E216" s="23">
        <v>520</v>
      </c>
      <c r="F216" s="23">
        <v>6</v>
      </c>
      <c r="G216" s="23">
        <v>24</v>
      </c>
    </row>
    <row r="217" spans="1:7" x14ac:dyDescent="0.3">
      <c r="A217" s="24">
        <v>44858</v>
      </c>
      <c r="B217" s="23">
        <v>2022</v>
      </c>
      <c r="C217" s="23">
        <v>10</v>
      </c>
      <c r="D217" s="23" t="s">
        <v>25</v>
      </c>
      <c r="E217" s="23">
        <v>542</v>
      </c>
      <c r="F217" s="23">
        <v>3</v>
      </c>
      <c r="G217" s="23">
        <v>30</v>
      </c>
    </row>
    <row r="218" spans="1:7" x14ac:dyDescent="0.3">
      <c r="A218" s="24">
        <v>44860</v>
      </c>
      <c r="B218" s="23">
        <v>2022</v>
      </c>
      <c r="C218" s="23">
        <v>10</v>
      </c>
      <c r="D218" s="23" t="s">
        <v>25</v>
      </c>
      <c r="E218" s="23">
        <v>522</v>
      </c>
      <c r="F218" s="23">
        <v>6</v>
      </c>
      <c r="G218" s="23">
        <v>24</v>
      </c>
    </row>
    <row r="219" spans="1:7" x14ac:dyDescent="0.3">
      <c r="A219" s="24">
        <v>44860</v>
      </c>
      <c r="B219" s="23">
        <v>2022</v>
      </c>
      <c r="C219" s="23">
        <v>10</v>
      </c>
      <c r="D219" s="23" t="s">
        <v>25</v>
      </c>
      <c r="E219" s="23">
        <v>510</v>
      </c>
      <c r="F219" s="23">
        <v>6</v>
      </c>
      <c r="G219" s="23">
        <v>36</v>
      </c>
    </row>
    <row r="220" spans="1:7" x14ac:dyDescent="0.3">
      <c r="A220" s="24">
        <v>44862</v>
      </c>
      <c r="B220" s="23">
        <v>2022</v>
      </c>
      <c r="C220" s="23">
        <v>10</v>
      </c>
      <c r="D220" s="23" t="s">
        <v>25</v>
      </c>
      <c r="E220" s="23">
        <v>562</v>
      </c>
      <c r="F220" s="23">
        <v>5</v>
      </c>
      <c r="G220" s="23">
        <v>25</v>
      </c>
    </row>
    <row r="221" spans="1:7" x14ac:dyDescent="0.3">
      <c r="A221" s="24">
        <v>44862</v>
      </c>
      <c r="B221" s="23">
        <v>2022</v>
      </c>
      <c r="C221" s="23">
        <v>10</v>
      </c>
      <c r="D221" s="23" t="s">
        <v>25</v>
      </c>
      <c r="E221" s="23">
        <v>510</v>
      </c>
      <c r="F221" s="23">
        <v>6</v>
      </c>
      <c r="G221" s="23">
        <v>36</v>
      </c>
    </row>
    <row r="222" spans="1:7" x14ac:dyDescent="0.3">
      <c r="A222" s="24">
        <v>44866</v>
      </c>
      <c r="B222" s="23">
        <v>2022</v>
      </c>
      <c r="C222" s="23">
        <v>11</v>
      </c>
      <c r="D222" s="23" t="s">
        <v>26</v>
      </c>
      <c r="E222" s="23">
        <v>532</v>
      </c>
      <c r="F222" s="23">
        <v>1</v>
      </c>
      <c r="G222" s="23">
        <v>10</v>
      </c>
    </row>
    <row r="223" spans="1:7" x14ac:dyDescent="0.3">
      <c r="A223" s="24">
        <v>44866</v>
      </c>
      <c r="B223" s="23">
        <v>2022</v>
      </c>
      <c r="C223" s="23">
        <v>11</v>
      </c>
      <c r="D223" s="23" t="s">
        <v>26</v>
      </c>
      <c r="E223" s="23">
        <v>544</v>
      </c>
      <c r="F223" s="23">
        <v>3</v>
      </c>
      <c r="G223" s="23">
        <v>36</v>
      </c>
    </row>
    <row r="224" spans="1:7" x14ac:dyDescent="0.3">
      <c r="A224" s="24">
        <v>44868</v>
      </c>
      <c r="B224" s="23">
        <v>2022</v>
      </c>
      <c r="C224" s="23">
        <v>11</v>
      </c>
      <c r="D224" s="23" t="s">
        <v>26</v>
      </c>
      <c r="E224" s="23">
        <v>536</v>
      </c>
      <c r="F224" s="23">
        <v>5</v>
      </c>
      <c r="G224" s="23">
        <v>25</v>
      </c>
    </row>
    <row r="225" spans="1:7" x14ac:dyDescent="0.3">
      <c r="A225" s="24">
        <v>44868</v>
      </c>
      <c r="B225" s="23">
        <v>2022</v>
      </c>
      <c r="C225" s="23">
        <v>11</v>
      </c>
      <c r="D225" s="23" t="s">
        <v>26</v>
      </c>
      <c r="E225" s="23">
        <v>542</v>
      </c>
      <c r="F225" s="23">
        <v>3</v>
      </c>
      <c r="G225" s="23">
        <v>30</v>
      </c>
    </row>
    <row r="226" spans="1:7" x14ac:dyDescent="0.3">
      <c r="A226" s="24">
        <v>44879</v>
      </c>
      <c r="B226" s="23">
        <v>2022</v>
      </c>
      <c r="C226" s="23">
        <v>11</v>
      </c>
      <c r="D226" s="23" t="s">
        <v>26</v>
      </c>
      <c r="E226" s="23">
        <v>514</v>
      </c>
      <c r="F226" s="23">
        <v>8</v>
      </c>
      <c r="G226" s="23">
        <v>52</v>
      </c>
    </row>
    <row r="227" spans="1:7" x14ac:dyDescent="0.3">
      <c r="A227" s="24">
        <v>44879</v>
      </c>
      <c r="B227" s="23">
        <v>2022</v>
      </c>
      <c r="C227" s="23">
        <v>11</v>
      </c>
      <c r="D227" s="23" t="s">
        <v>26</v>
      </c>
      <c r="E227" s="23">
        <v>548</v>
      </c>
      <c r="F227" s="23">
        <v>10</v>
      </c>
      <c r="G227" s="23">
        <v>20</v>
      </c>
    </row>
    <row r="228" spans="1:7" x14ac:dyDescent="0.3">
      <c r="A228" s="24">
        <v>44881</v>
      </c>
      <c r="B228" s="23">
        <v>2022</v>
      </c>
      <c r="C228" s="23">
        <v>11</v>
      </c>
      <c r="D228" s="23" t="s">
        <v>26</v>
      </c>
      <c r="E228" s="23">
        <v>540</v>
      </c>
      <c r="F228" s="23">
        <v>5</v>
      </c>
      <c r="G228" s="23">
        <v>37.5</v>
      </c>
    </row>
    <row r="229" spans="1:7" x14ac:dyDescent="0.3">
      <c r="A229" s="24">
        <v>44881</v>
      </c>
      <c r="B229" s="23">
        <v>2022</v>
      </c>
      <c r="C229" s="23">
        <v>11</v>
      </c>
      <c r="D229" s="23" t="s">
        <v>26</v>
      </c>
      <c r="E229" s="23">
        <v>560</v>
      </c>
      <c r="F229" s="23">
        <v>5</v>
      </c>
      <c r="G229" s="23">
        <v>40</v>
      </c>
    </row>
    <row r="230" spans="1:7" x14ac:dyDescent="0.3">
      <c r="A230" s="24">
        <v>44883</v>
      </c>
      <c r="B230" s="23">
        <v>2022</v>
      </c>
      <c r="C230" s="23">
        <v>11</v>
      </c>
      <c r="D230" s="23" t="s">
        <v>26</v>
      </c>
      <c r="E230" s="23">
        <v>516</v>
      </c>
      <c r="F230" s="23">
        <v>7</v>
      </c>
      <c r="G230" s="23">
        <v>31.5</v>
      </c>
    </row>
    <row r="231" spans="1:7" x14ac:dyDescent="0.3">
      <c r="A231" s="24">
        <v>44883</v>
      </c>
      <c r="B231" s="23">
        <v>2022</v>
      </c>
      <c r="C231" s="23">
        <v>11</v>
      </c>
      <c r="D231" s="23" t="s">
        <v>26</v>
      </c>
      <c r="E231" s="23">
        <v>530</v>
      </c>
      <c r="F231" s="23">
        <v>5</v>
      </c>
      <c r="G231" s="23">
        <v>42.5</v>
      </c>
    </row>
    <row r="232" spans="1:7" x14ac:dyDescent="0.3">
      <c r="A232" s="24">
        <v>44886</v>
      </c>
      <c r="B232" s="23">
        <v>2022</v>
      </c>
      <c r="C232" s="23">
        <v>11</v>
      </c>
      <c r="D232" s="23" t="s">
        <v>26</v>
      </c>
      <c r="E232" s="23">
        <v>518</v>
      </c>
      <c r="F232" s="23">
        <v>4</v>
      </c>
      <c r="G232" s="23">
        <v>16</v>
      </c>
    </row>
    <row r="233" spans="1:7" x14ac:dyDescent="0.3">
      <c r="A233" s="24">
        <v>44886</v>
      </c>
      <c r="B233" s="23">
        <v>2022</v>
      </c>
      <c r="C233" s="23">
        <v>11</v>
      </c>
      <c r="D233" s="23" t="s">
        <v>26</v>
      </c>
      <c r="E233" s="23">
        <v>524</v>
      </c>
      <c r="F233" s="23">
        <v>3</v>
      </c>
      <c r="G233" s="23">
        <v>6</v>
      </c>
    </row>
    <row r="234" spans="1:7" x14ac:dyDescent="0.3">
      <c r="A234" s="24">
        <v>44888</v>
      </c>
      <c r="B234" s="23">
        <v>2022</v>
      </c>
      <c r="C234" s="23">
        <v>11</v>
      </c>
      <c r="D234" s="23" t="s">
        <v>26</v>
      </c>
      <c r="E234" s="23">
        <v>520</v>
      </c>
      <c r="F234" s="23">
        <v>6</v>
      </c>
      <c r="G234" s="23">
        <v>24</v>
      </c>
    </row>
    <row r="235" spans="1:7" x14ac:dyDescent="0.3">
      <c r="A235" s="24">
        <v>44888</v>
      </c>
      <c r="B235" s="23">
        <v>2022</v>
      </c>
      <c r="C235" s="23">
        <v>11</v>
      </c>
      <c r="D235" s="23" t="s">
        <v>26</v>
      </c>
      <c r="E235" s="23">
        <v>542</v>
      </c>
      <c r="F235" s="23">
        <v>2</v>
      </c>
      <c r="G235" s="23">
        <v>20</v>
      </c>
    </row>
    <row r="236" spans="1:7" x14ac:dyDescent="0.3">
      <c r="A236" s="24">
        <v>44890</v>
      </c>
      <c r="B236" s="23">
        <v>2022</v>
      </c>
      <c r="C236" s="23">
        <v>11</v>
      </c>
      <c r="D236" s="23" t="s">
        <v>26</v>
      </c>
      <c r="E236" s="23">
        <v>522</v>
      </c>
      <c r="F236" s="23">
        <v>6</v>
      </c>
      <c r="G236" s="23">
        <v>24</v>
      </c>
    </row>
    <row r="237" spans="1:7" x14ac:dyDescent="0.3">
      <c r="A237" s="24">
        <v>44890</v>
      </c>
      <c r="B237" s="23">
        <v>2022</v>
      </c>
      <c r="C237" s="23">
        <v>11</v>
      </c>
      <c r="D237" s="23" t="s">
        <v>26</v>
      </c>
      <c r="E237" s="23">
        <v>510</v>
      </c>
      <c r="F237" s="23">
        <v>6</v>
      </c>
      <c r="G237" s="23">
        <v>36</v>
      </c>
    </row>
    <row r="238" spans="1:7" x14ac:dyDescent="0.3">
      <c r="A238" s="24">
        <v>44893</v>
      </c>
      <c r="B238" s="23">
        <v>2022</v>
      </c>
      <c r="C238" s="23">
        <v>11</v>
      </c>
      <c r="D238" s="23" t="s">
        <v>26</v>
      </c>
      <c r="E238" s="23">
        <v>562</v>
      </c>
      <c r="F238" s="23">
        <v>5</v>
      </c>
      <c r="G238" s="23">
        <v>25</v>
      </c>
    </row>
    <row r="239" spans="1:7" x14ac:dyDescent="0.3">
      <c r="A239" s="24">
        <v>44893</v>
      </c>
      <c r="B239" s="23">
        <v>2022</v>
      </c>
      <c r="C239" s="23">
        <v>11</v>
      </c>
      <c r="D239" s="23" t="s">
        <v>26</v>
      </c>
      <c r="E239" s="23">
        <v>510</v>
      </c>
      <c r="F239" s="23">
        <v>6</v>
      </c>
      <c r="G239" s="23">
        <v>36</v>
      </c>
    </row>
    <row r="240" spans="1:7" x14ac:dyDescent="0.3">
      <c r="A240" s="24">
        <v>44894</v>
      </c>
      <c r="B240" s="23">
        <v>2022</v>
      </c>
      <c r="C240" s="23">
        <v>11</v>
      </c>
      <c r="D240" s="23" t="s">
        <v>26</v>
      </c>
      <c r="E240" s="23">
        <v>518</v>
      </c>
      <c r="F240" s="23">
        <v>4</v>
      </c>
      <c r="G240" s="23">
        <v>16</v>
      </c>
    </row>
    <row r="241" spans="1:7" x14ac:dyDescent="0.3">
      <c r="A241" s="24">
        <v>44894</v>
      </c>
      <c r="B241" s="23">
        <v>2022</v>
      </c>
      <c r="C241" s="23">
        <v>11</v>
      </c>
      <c r="D241" s="23" t="s">
        <v>26</v>
      </c>
      <c r="E241" s="23">
        <v>524</v>
      </c>
      <c r="F241" s="23">
        <v>3</v>
      </c>
      <c r="G241" s="23">
        <v>6</v>
      </c>
    </row>
    <row r="242" spans="1:7" x14ac:dyDescent="0.3">
      <c r="A242" s="24">
        <v>44894</v>
      </c>
      <c r="B242" s="23">
        <v>2022</v>
      </c>
      <c r="C242" s="23">
        <v>11</v>
      </c>
      <c r="D242" s="23" t="s">
        <v>26</v>
      </c>
      <c r="E242" s="23">
        <v>520</v>
      </c>
      <c r="F242" s="23">
        <v>6</v>
      </c>
      <c r="G242" s="23">
        <v>24</v>
      </c>
    </row>
    <row r="243" spans="1:7" x14ac:dyDescent="0.3">
      <c r="A243" s="24">
        <v>44894</v>
      </c>
      <c r="B243" s="23">
        <v>2022</v>
      </c>
      <c r="C243" s="23">
        <v>11</v>
      </c>
      <c r="D243" s="23" t="s">
        <v>26</v>
      </c>
      <c r="E243" s="23">
        <v>542</v>
      </c>
      <c r="F243" s="23">
        <v>3</v>
      </c>
      <c r="G243" s="23">
        <v>30</v>
      </c>
    </row>
    <row r="244" spans="1:7" x14ac:dyDescent="0.3">
      <c r="A244" s="24">
        <v>44894</v>
      </c>
      <c r="B244" s="23">
        <v>2022</v>
      </c>
      <c r="C244" s="23">
        <v>11</v>
      </c>
      <c r="D244" s="23" t="s">
        <v>26</v>
      </c>
      <c r="E244" s="23">
        <v>522</v>
      </c>
      <c r="F244" s="23">
        <v>6</v>
      </c>
      <c r="G244" s="23">
        <v>24</v>
      </c>
    </row>
    <row r="245" spans="1:7" x14ac:dyDescent="0.3">
      <c r="A245" s="24">
        <v>44900</v>
      </c>
      <c r="B245" s="23">
        <v>2022</v>
      </c>
      <c r="C245" s="23">
        <v>12</v>
      </c>
      <c r="D245" s="23" t="s">
        <v>27</v>
      </c>
      <c r="E245" s="23">
        <v>532</v>
      </c>
      <c r="F245" s="23">
        <v>1</v>
      </c>
      <c r="G245" s="23">
        <v>10</v>
      </c>
    </row>
    <row r="246" spans="1:7" x14ac:dyDescent="0.3">
      <c r="A246" s="24">
        <v>44900</v>
      </c>
      <c r="B246" s="23">
        <v>2022</v>
      </c>
      <c r="C246" s="23">
        <v>12</v>
      </c>
      <c r="D246" s="23" t="s">
        <v>27</v>
      </c>
      <c r="E246" s="23">
        <v>544</v>
      </c>
      <c r="F246" s="23">
        <v>3</v>
      </c>
      <c r="G246" s="23">
        <v>36</v>
      </c>
    </row>
    <row r="247" spans="1:7" x14ac:dyDescent="0.3">
      <c r="A247" s="24">
        <v>44902</v>
      </c>
      <c r="B247" s="23">
        <v>2022</v>
      </c>
      <c r="C247" s="23">
        <v>12</v>
      </c>
      <c r="D247" s="23" t="s">
        <v>27</v>
      </c>
      <c r="E247" s="23">
        <v>536</v>
      </c>
      <c r="F247" s="23">
        <v>5</v>
      </c>
      <c r="G247" s="23">
        <v>25</v>
      </c>
    </row>
    <row r="248" spans="1:7" x14ac:dyDescent="0.3">
      <c r="A248" s="24">
        <v>44902</v>
      </c>
      <c r="B248" s="23">
        <v>2022</v>
      </c>
      <c r="C248" s="23">
        <v>12</v>
      </c>
      <c r="D248" s="23" t="s">
        <v>27</v>
      </c>
      <c r="E248" s="23">
        <v>542</v>
      </c>
      <c r="F248" s="23">
        <v>2</v>
      </c>
      <c r="G248" s="23">
        <v>20</v>
      </c>
    </row>
    <row r="249" spans="1:7" x14ac:dyDescent="0.3">
      <c r="A249" s="24">
        <v>44904</v>
      </c>
      <c r="B249" s="23">
        <v>2022</v>
      </c>
      <c r="C249" s="23">
        <v>12</v>
      </c>
      <c r="D249" s="23" t="s">
        <v>27</v>
      </c>
      <c r="E249" s="23">
        <v>514</v>
      </c>
      <c r="F249" s="23">
        <v>9</v>
      </c>
      <c r="G249" s="23">
        <v>58.5</v>
      </c>
    </row>
    <row r="250" spans="1:7" x14ac:dyDescent="0.3">
      <c r="A250" s="24">
        <v>44904</v>
      </c>
      <c r="B250" s="23">
        <v>2022</v>
      </c>
      <c r="C250" s="23">
        <v>12</v>
      </c>
      <c r="D250" s="23" t="s">
        <v>27</v>
      </c>
      <c r="E250" s="23">
        <v>548</v>
      </c>
      <c r="F250" s="23">
        <v>10</v>
      </c>
      <c r="G250" s="23">
        <v>20</v>
      </c>
    </row>
    <row r="251" spans="1:7" x14ac:dyDescent="0.3">
      <c r="A251" s="24">
        <v>44907</v>
      </c>
      <c r="B251" s="23">
        <v>2022</v>
      </c>
      <c r="C251" s="23">
        <v>12</v>
      </c>
      <c r="D251" s="23" t="s">
        <v>27</v>
      </c>
      <c r="E251" s="23">
        <v>540</v>
      </c>
      <c r="F251" s="23">
        <v>5</v>
      </c>
      <c r="G251" s="23">
        <v>37.5</v>
      </c>
    </row>
    <row r="252" spans="1:7" x14ac:dyDescent="0.3">
      <c r="A252" s="24">
        <v>44907</v>
      </c>
      <c r="B252" s="23">
        <v>2022</v>
      </c>
      <c r="C252" s="23">
        <v>12</v>
      </c>
      <c r="D252" s="23" t="s">
        <v>27</v>
      </c>
      <c r="E252" s="23">
        <v>560</v>
      </c>
      <c r="F252" s="23">
        <v>5</v>
      </c>
      <c r="G252" s="23">
        <v>40</v>
      </c>
    </row>
    <row r="253" spans="1:7" x14ac:dyDescent="0.3">
      <c r="A253" s="24">
        <v>44909</v>
      </c>
      <c r="B253" s="23">
        <v>2022</v>
      </c>
      <c r="C253" s="23">
        <v>12</v>
      </c>
      <c r="D253" s="23" t="s">
        <v>27</v>
      </c>
      <c r="E253" s="23">
        <v>516</v>
      </c>
      <c r="F253" s="23">
        <v>7</v>
      </c>
      <c r="G253" s="23">
        <v>31.5</v>
      </c>
    </row>
    <row r="254" spans="1:7" x14ac:dyDescent="0.3">
      <c r="A254" s="24">
        <v>44909</v>
      </c>
      <c r="B254" s="23">
        <v>2022</v>
      </c>
      <c r="C254" s="23">
        <v>12</v>
      </c>
      <c r="D254" s="23" t="s">
        <v>27</v>
      </c>
      <c r="E254" s="23">
        <v>530</v>
      </c>
      <c r="F254" s="23">
        <v>5</v>
      </c>
      <c r="G254" s="23">
        <v>42.5</v>
      </c>
    </row>
    <row r="255" spans="1:7" x14ac:dyDescent="0.3">
      <c r="A255" s="24">
        <v>44911</v>
      </c>
      <c r="B255" s="23">
        <v>2022</v>
      </c>
      <c r="C255" s="23">
        <v>12</v>
      </c>
      <c r="D255" s="23" t="s">
        <v>27</v>
      </c>
      <c r="E255" s="23">
        <v>518</v>
      </c>
      <c r="F255" s="23">
        <v>4</v>
      </c>
      <c r="G255" s="23">
        <v>16</v>
      </c>
    </row>
    <row r="256" spans="1:7" x14ac:dyDescent="0.3">
      <c r="A256" s="24">
        <v>44911</v>
      </c>
      <c r="B256" s="23">
        <v>2022</v>
      </c>
      <c r="C256" s="23">
        <v>12</v>
      </c>
      <c r="D256" s="23" t="s">
        <v>27</v>
      </c>
      <c r="E256" s="23">
        <v>524</v>
      </c>
      <c r="F256" s="23">
        <v>3</v>
      </c>
      <c r="G256" s="23">
        <v>6</v>
      </c>
    </row>
    <row r="257" spans="1:7" x14ac:dyDescent="0.3">
      <c r="A257" s="24">
        <v>44912</v>
      </c>
      <c r="B257" s="23">
        <v>2022</v>
      </c>
      <c r="C257" s="23">
        <v>12</v>
      </c>
      <c r="D257" s="23" t="s">
        <v>27</v>
      </c>
      <c r="E257" s="23">
        <v>576</v>
      </c>
      <c r="F257" s="23">
        <v>10</v>
      </c>
      <c r="G257" s="23">
        <v>125</v>
      </c>
    </row>
    <row r="258" spans="1:7" x14ac:dyDescent="0.3">
      <c r="A258" s="24">
        <v>44912</v>
      </c>
      <c r="B258" s="23">
        <v>2022</v>
      </c>
      <c r="C258" s="23">
        <v>12</v>
      </c>
      <c r="D258" s="23" t="s">
        <v>27</v>
      </c>
      <c r="E258" s="23">
        <v>578</v>
      </c>
      <c r="F258" s="23">
        <v>4</v>
      </c>
      <c r="G258" s="23">
        <v>62</v>
      </c>
    </row>
    <row r="259" spans="1:7" x14ac:dyDescent="0.3">
      <c r="A259" s="24">
        <v>44912</v>
      </c>
      <c r="B259" s="23">
        <v>2022</v>
      </c>
      <c r="C259" s="23">
        <v>12</v>
      </c>
      <c r="D259" s="23" t="s">
        <v>27</v>
      </c>
      <c r="E259" s="23">
        <v>580</v>
      </c>
      <c r="F259" s="23">
        <v>6</v>
      </c>
      <c r="G259" s="23">
        <v>48</v>
      </c>
    </row>
    <row r="260" spans="1:7" x14ac:dyDescent="0.3">
      <c r="A260" s="24">
        <v>44912</v>
      </c>
      <c r="B260" s="23">
        <v>2022</v>
      </c>
      <c r="C260" s="23">
        <v>12</v>
      </c>
      <c r="D260" s="23" t="s">
        <v>27</v>
      </c>
      <c r="E260" s="23">
        <v>568</v>
      </c>
      <c r="F260" s="23">
        <v>7</v>
      </c>
      <c r="G260" s="23">
        <v>73.5</v>
      </c>
    </row>
    <row r="261" spans="1:7" x14ac:dyDescent="0.3">
      <c r="A261" s="24">
        <v>44914</v>
      </c>
      <c r="B261" s="23">
        <v>2022</v>
      </c>
      <c r="C261" s="23">
        <v>12</v>
      </c>
      <c r="D261" s="23" t="s">
        <v>27</v>
      </c>
      <c r="E261" s="23">
        <v>520</v>
      </c>
      <c r="F261" s="23">
        <v>6</v>
      </c>
      <c r="G261" s="23">
        <v>24</v>
      </c>
    </row>
    <row r="262" spans="1:7" x14ac:dyDescent="0.3">
      <c r="A262" s="24">
        <v>44914</v>
      </c>
      <c r="B262" s="23">
        <v>2022</v>
      </c>
      <c r="C262" s="23">
        <v>12</v>
      </c>
      <c r="D262" s="23" t="s">
        <v>27</v>
      </c>
      <c r="E262" s="23">
        <v>542</v>
      </c>
      <c r="F262" s="23">
        <v>4</v>
      </c>
      <c r="G262" s="23">
        <v>40</v>
      </c>
    </row>
    <row r="263" spans="1:7" x14ac:dyDescent="0.3">
      <c r="A263" s="24">
        <v>44916</v>
      </c>
      <c r="B263" s="23">
        <v>2022</v>
      </c>
      <c r="C263" s="23">
        <v>12</v>
      </c>
      <c r="D263" s="23" t="s">
        <v>27</v>
      </c>
      <c r="E263" s="23">
        <v>522</v>
      </c>
      <c r="F263" s="23">
        <v>6</v>
      </c>
      <c r="G263" s="23">
        <v>24</v>
      </c>
    </row>
    <row r="264" spans="1:7" x14ac:dyDescent="0.3">
      <c r="A264" s="24">
        <v>44916</v>
      </c>
      <c r="B264" s="23">
        <v>2022</v>
      </c>
      <c r="C264" s="23">
        <v>12</v>
      </c>
      <c r="D264" s="23" t="s">
        <v>27</v>
      </c>
      <c r="E264" s="23">
        <v>510</v>
      </c>
      <c r="F264" s="23">
        <v>6</v>
      </c>
      <c r="G264" s="23">
        <v>36</v>
      </c>
    </row>
    <row r="265" spans="1:7" x14ac:dyDescent="0.3">
      <c r="A265" s="24">
        <v>44918</v>
      </c>
      <c r="B265" s="23">
        <v>2022</v>
      </c>
      <c r="C265" s="23">
        <v>12</v>
      </c>
      <c r="D265" s="23" t="s">
        <v>27</v>
      </c>
      <c r="E265" s="23">
        <v>562</v>
      </c>
      <c r="F265" s="23">
        <v>5</v>
      </c>
      <c r="G265" s="23">
        <v>25</v>
      </c>
    </row>
    <row r="266" spans="1:7" x14ac:dyDescent="0.3">
      <c r="A266" s="24">
        <v>44918</v>
      </c>
      <c r="B266" s="23">
        <v>2022</v>
      </c>
      <c r="C266" s="23">
        <v>12</v>
      </c>
      <c r="D266" s="23" t="s">
        <v>27</v>
      </c>
      <c r="E266" s="23">
        <v>510</v>
      </c>
      <c r="F266" s="23">
        <v>6</v>
      </c>
      <c r="G266" s="23">
        <v>36</v>
      </c>
    </row>
    <row r="267" spans="1:7" x14ac:dyDescent="0.3">
      <c r="A267" s="24">
        <v>44936</v>
      </c>
      <c r="B267" s="23">
        <v>2023</v>
      </c>
      <c r="C267" s="23">
        <v>1</v>
      </c>
      <c r="D267" s="23" t="s">
        <v>16</v>
      </c>
      <c r="E267" s="23">
        <v>510</v>
      </c>
      <c r="F267" s="23">
        <v>7</v>
      </c>
      <c r="G267" s="23">
        <v>42</v>
      </c>
    </row>
    <row r="268" spans="1:7" x14ac:dyDescent="0.3">
      <c r="A268" s="24">
        <v>44936</v>
      </c>
      <c r="B268" s="23">
        <v>2023</v>
      </c>
      <c r="C268" s="23">
        <v>1</v>
      </c>
      <c r="D268" s="23" t="s">
        <v>16</v>
      </c>
      <c r="E268" s="23">
        <v>514</v>
      </c>
      <c r="F268" s="23">
        <v>6</v>
      </c>
      <c r="G268" s="23">
        <v>39</v>
      </c>
    </row>
    <row r="269" spans="1:7" x14ac:dyDescent="0.3">
      <c r="A269" s="24">
        <v>44936</v>
      </c>
      <c r="B269" s="23">
        <v>2023</v>
      </c>
      <c r="C269" s="23">
        <v>1</v>
      </c>
      <c r="D269" s="23" t="s">
        <v>16</v>
      </c>
      <c r="E269" s="23">
        <v>516</v>
      </c>
      <c r="F269" s="23">
        <v>4</v>
      </c>
      <c r="G269" s="23">
        <v>18</v>
      </c>
    </row>
    <row r="270" spans="1:7" x14ac:dyDescent="0.3">
      <c r="A270" s="24">
        <v>44936</v>
      </c>
      <c r="B270" s="23">
        <v>2023</v>
      </c>
      <c r="C270" s="23">
        <v>1</v>
      </c>
      <c r="D270" s="23" t="s">
        <v>16</v>
      </c>
      <c r="E270" s="23">
        <v>580</v>
      </c>
      <c r="F270" s="23">
        <v>8</v>
      </c>
      <c r="G270" s="23">
        <v>64</v>
      </c>
    </row>
    <row r="271" spans="1:7" x14ac:dyDescent="0.3">
      <c r="A271" s="24">
        <v>44938</v>
      </c>
      <c r="B271" s="23">
        <v>2023</v>
      </c>
      <c r="C271" s="23">
        <v>1</v>
      </c>
      <c r="D271" s="23" t="s">
        <v>16</v>
      </c>
      <c r="E271" s="23">
        <v>580</v>
      </c>
      <c r="F271" s="23">
        <v>7</v>
      </c>
      <c r="G271" s="23">
        <v>56</v>
      </c>
    </row>
    <row r="272" spans="1:7" x14ac:dyDescent="0.3">
      <c r="A272" s="24">
        <v>44938</v>
      </c>
      <c r="B272" s="23">
        <v>2023</v>
      </c>
      <c r="C272" s="23">
        <v>1</v>
      </c>
      <c r="D272" s="23" t="s">
        <v>16</v>
      </c>
      <c r="E272" s="23">
        <v>516</v>
      </c>
      <c r="F272" s="23">
        <v>5</v>
      </c>
      <c r="G272" s="23">
        <v>22.5</v>
      </c>
    </row>
    <row r="273" spans="1:7" x14ac:dyDescent="0.3">
      <c r="A273" s="24">
        <v>44938</v>
      </c>
      <c r="B273" s="23">
        <v>2023</v>
      </c>
      <c r="C273" s="23">
        <v>1</v>
      </c>
      <c r="D273" s="23" t="s">
        <v>16</v>
      </c>
      <c r="E273" s="23">
        <v>580</v>
      </c>
      <c r="F273" s="23">
        <v>6</v>
      </c>
      <c r="G273" s="23">
        <v>48</v>
      </c>
    </row>
    <row r="274" spans="1:7" x14ac:dyDescent="0.3">
      <c r="A274" s="24">
        <v>44940</v>
      </c>
      <c r="B274" s="23">
        <v>2023</v>
      </c>
      <c r="C274" s="23">
        <v>1</v>
      </c>
      <c r="D274" s="23" t="s">
        <v>16</v>
      </c>
      <c r="E274" s="23">
        <v>522</v>
      </c>
      <c r="F274" s="23">
        <v>5</v>
      </c>
      <c r="G274" s="23">
        <v>20</v>
      </c>
    </row>
    <row r="275" spans="1:7" x14ac:dyDescent="0.3">
      <c r="A275" s="24">
        <v>44943</v>
      </c>
      <c r="B275" s="23">
        <v>2023</v>
      </c>
      <c r="C275" s="23">
        <v>1</v>
      </c>
      <c r="D275" s="23" t="s">
        <v>16</v>
      </c>
      <c r="E275" s="23">
        <v>524</v>
      </c>
      <c r="F275" s="23">
        <v>3</v>
      </c>
      <c r="G275" s="23">
        <v>6</v>
      </c>
    </row>
    <row r="276" spans="1:7" x14ac:dyDescent="0.3">
      <c r="A276" s="24">
        <v>44945</v>
      </c>
      <c r="B276" s="23">
        <v>2023</v>
      </c>
      <c r="C276" s="23">
        <v>1</v>
      </c>
      <c r="D276" s="23" t="s">
        <v>16</v>
      </c>
      <c r="E276" s="23">
        <v>530</v>
      </c>
      <c r="F276" s="23">
        <v>6</v>
      </c>
      <c r="G276" s="23">
        <v>51</v>
      </c>
    </row>
    <row r="277" spans="1:7" x14ac:dyDescent="0.3">
      <c r="A277" s="24">
        <v>44947</v>
      </c>
      <c r="B277" s="23">
        <v>2023</v>
      </c>
      <c r="C277" s="23">
        <v>1</v>
      </c>
      <c r="D277" s="23" t="s">
        <v>16</v>
      </c>
      <c r="E277" s="23">
        <v>536</v>
      </c>
      <c r="F277" s="23">
        <v>3</v>
      </c>
      <c r="G277" s="23">
        <v>15</v>
      </c>
    </row>
    <row r="278" spans="1:7" x14ac:dyDescent="0.3">
      <c r="A278" s="24">
        <v>44950</v>
      </c>
      <c r="B278" s="23">
        <v>2023</v>
      </c>
      <c r="C278" s="23">
        <v>1</v>
      </c>
      <c r="D278" s="23" t="s">
        <v>16</v>
      </c>
      <c r="E278" s="23">
        <v>540</v>
      </c>
      <c r="F278" s="23">
        <v>7</v>
      </c>
      <c r="G278" s="23">
        <v>52.5</v>
      </c>
    </row>
    <row r="279" spans="1:7" x14ac:dyDescent="0.3">
      <c r="A279" s="24">
        <v>44952</v>
      </c>
      <c r="B279" s="23">
        <v>2023</v>
      </c>
      <c r="C279" s="23">
        <v>1</v>
      </c>
      <c r="D279" s="23" t="s">
        <v>16</v>
      </c>
      <c r="E279" s="23">
        <v>580</v>
      </c>
      <c r="F279" s="23">
        <v>8</v>
      </c>
      <c r="G279" s="23">
        <v>64</v>
      </c>
    </row>
    <row r="280" spans="1:7" x14ac:dyDescent="0.3">
      <c r="A280" s="24">
        <v>44952</v>
      </c>
      <c r="B280" s="23">
        <v>2023</v>
      </c>
      <c r="C280" s="23">
        <v>1</v>
      </c>
      <c r="D280" s="23" t="s">
        <v>16</v>
      </c>
      <c r="E280" s="23">
        <v>576</v>
      </c>
      <c r="F280" s="23">
        <v>10</v>
      </c>
      <c r="G280" s="23">
        <v>125</v>
      </c>
    </row>
    <row r="281" spans="1:7" x14ac:dyDescent="0.3">
      <c r="A281" s="24">
        <v>44952</v>
      </c>
      <c r="B281" s="23">
        <v>2023</v>
      </c>
      <c r="C281" s="23">
        <v>1</v>
      </c>
      <c r="D281" s="23" t="s">
        <v>16</v>
      </c>
      <c r="E281" s="23">
        <v>578</v>
      </c>
      <c r="F281" s="23">
        <v>4</v>
      </c>
      <c r="G281" s="23">
        <v>62</v>
      </c>
    </row>
    <row r="282" spans="1:7" x14ac:dyDescent="0.3">
      <c r="A282" s="24">
        <v>44953</v>
      </c>
      <c r="B282" s="23">
        <v>2023</v>
      </c>
      <c r="C282" s="23">
        <v>1</v>
      </c>
      <c r="D282" s="23" t="s">
        <v>16</v>
      </c>
      <c r="E282" s="23">
        <v>580</v>
      </c>
      <c r="F282" s="23">
        <v>7</v>
      </c>
      <c r="G282" s="23">
        <v>56</v>
      </c>
    </row>
    <row r="283" spans="1:7" x14ac:dyDescent="0.3">
      <c r="A283" s="24">
        <v>44953</v>
      </c>
      <c r="B283" s="23">
        <v>2023</v>
      </c>
      <c r="C283" s="23">
        <v>1</v>
      </c>
      <c r="D283" s="23" t="s">
        <v>16</v>
      </c>
      <c r="E283" s="23">
        <v>568</v>
      </c>
      <c r="F283" s="23">
        <v>7</v>
      </c>
      <c r="G283" s="23">
        <v>73.5</v>
      </c>
    </row>
    <row r="284" spans="1:7" x14ac:dyDescent="0.3">
      <c r="A284" s="24">
        <v>44954</v>
      </c>
      <c r="B284" s="23">
        <v>2023</v>
      </c>
      <c r="C284" s="23">
        <v>1</v>
      </c>
      <c r="D284" s="23" t="s">
        <v>16</v>
      </c>
      <c r="E284" s="23">
        <v>580</v>
      </c>
      <c r="F284" s="23">
        <v>9</v>
      </c>
      <c r="G284" s="23">
        <v>72</v>
      </c>
    </row>
    <row r="285" spans="1:7" x14ac:dyDescent="0.3">
      <c r="A285" s="24">
        <v>44954</v>
      </c>
      <c r="B285" s="23">
        <v>2023</v>
      </c>
      <c r="C285" s="23">
        <v>1</v>
      </c>
      <c r="D285" s="23" t="s">
        <v>16</v>
      </c>
      <c r="E285" s="23">
        <v>580</v>
      </c>
      <c r="F285" s="23">
        <v>9</v>
      </c>
      <c r="G285" s="23">
        <v>72</v>
      </c>
    </row>
    <row r="286" spans="1:7" x14ac:dyDescent="0.3">
      <c r="A286" s="24">
        <v>44955</v>
      </c>
      <c r="B286" s="23">
        <v>2023</v>
      </c>
      <c r="C286" s="23">
        <v>1</v>
      </c>
      <c r="D286" s="23" t="s">
        <v>16</v>
      </c>
      <c r="E286" s="23">
        <v>576</v>
      </c>
      <c r="F286" s="23">
        <v>10</v>
      </c>
      <c r="G286" s="23">
        <v>125</v>
      </c>
    </row>
    <row r="287" spans="1:7" x14ac:dyDescent="0.3">
      <c r="A287" s="24">
        <v>44955</v>
      </c>
      <c r="B287" s="23">
        <v>2023</v>
      </c>
      <c r="C287" s="23">
        <v>1</v>
      </c>
      <c r="D287" s="23" t="s">
        <v>16</v>
      </c>
      <c r="E287" s="23">
        <v>542</v>
      </c>
      <c r="F287" s="23">
        <v>3</v>
      </c>
      <c r="G287" s="23">
        <v>30</v>
      </c>
    </row>
    <row r="288" spans="1:7" x14ac:dyDescent="0.3">
      <c r="A288" s="24">
        <v>44955</v>
      </c>
      <c r="B288" s="23">
        <v>2023</v>
      </c>
      <c r="C288" s="23">
        <v>1</v>
      </c>
      <c r="D288" s="23" t="s">
        <v>16</v>
      </c>
      <c r="E288" s="23">
        <v>548</v>
      </c>
      <c r="F288" s="23">
        <v>5</v>
      </c>
      <c r="G288" s="23">
        <v>10</v>
      </c>
    </row>
    <row r="289" spans="1:7" x14ac:dyDescent="0.3">
      <c r="A289" s="24">
        <v>44955</v>
      </c>
      <c r="B289" s="23">
        <v>2023</v>
      </c>
      <c r="C289" s="23">
        <v>1</v>
      </c>
      <c r="D289" s="23" t="s">
        <v>16</v>
      </c>
      <c r="E289" s="23">
        <v>560</v>
      </c>
      <c r="F289" s="23">
        <v>10</v>
      </c>
      <c r="G289" s="23">
        <v>80</v>
      </c>
    </row>
    <row r="290" spans="1:7" x14ac:dyDescent="0.3">
      <c r="A290" s="24">
        <v>44955</v>
      </c>
      <c r="B290" s="23">
        <v>2023</v>
      </c>
      <c r="C290" s="23">
        <v>1</v>
      </c>
      <c r="D290" s="23" t="s">
        <v>16</v>
      </c>
      <c r="E290" s="23">
        <v>572</v>
      </c>
      <c r="F290" s="23">
        <v>6</v>
      </c>
      <c r="G290" s="23">
        <v>36</v>
      </c>
    </row>
    <row r="291" spans="1:7" x14ac:dyDescent="0.3">
      <c r="A291" s="24">
        <v>44955</v>
      </c>
      <c r="B291" s="23">
        <v>2023</v>
      </c>
      <c r="C291" s="23">
        <v>1</v>
      </c>
      <c r="D291" s="23" t="s">
        <v>16</v>
      </c>
      <c r="E291" s="23">
        <v>574</v>
      </c>
      <c r="F291" s="23">
        <v>5</v>
      </c>
      <c r="G291" s="23">
        <v>27.5</v>
      </c>
    </row>
    <row r="292" spans="1:7" x14ac:dyDescent="0.3">
      <c r="A292" s="24">
        <v>44964</v>
      </c>
      <c r="B292" s="23">
        <v>2023</v>
      </c>
      <c r="C292" s="23">
        <v>2</v>
      </c>
      <c r="D292" s="23" t="s">
        <v>17</v>
      </c>
      <c r="E292" s="23">
        <v>542</v>
      </c>
      <c r="F292" s="23">
        <v>1</v>
      </c>
      <c r="G292" s="23">
        <v>10</v>
      </c>
    </row>
    <row r="293" spans="1:7" x14ac:dyDescent="0.3">
      <c r="A293" s="24">
        <v>44965</v>
      </c>
      <c r="B293" s="23">
        <v>2023</v>
      </c>
      <c r="C293" s="23">
        <v>2</v>
      </c>
      <c r="D293" s="23" t="s">
        <v>17</v>
      </c>
      <c r="E293" s="23">
        <v>548</v>
      </c>
      <c r="F293" s="23">
        <v>5</v>
      </c>
      <c r="G293" s="23">
        <v>10</v>
      </c>
    </row>
    <row r="294" spans="1:7" x14ac:dyDescent="0.3">
      <c r="A294" s="24">
        <v>44966</v>
      </c>
      <c r="B294" s="23">
        <v>2023</v>
      </c>
      <c r="C294" s="23">
        <v>2</v>
      </c>
      <c r="D294" s="23" t="s">
        <v>17</v>
      </c>
      <c r="E294" s="23">
        <v>560</v>
      </c>
      <c r="F294" s="23">
        <v>2</v>
      </c>
      <c r="G294" s="23">
        <v>16</v>
      </c>
    </row>
    <row r="295" spans="1:7" x14ac:dyDescent="0.3">
      <c r="A295" s="24">
        <v>44967</v>
      </c>
      <c r="B295" s="23">
        <v>2023</v>
      </c>
      <c r="C295" s="23">
        <v>2</v>
      </c>
      <c r="D295" s="23" t="s">
        <v>17</v>
      </c>
      <c r="E295" s="23">
        <v>566</v>
      </c>
      <c r="F295" s="23">
        <v>2</v>
      </c>
      <c r="G295" s="23">
        <v>17</v>
      </c>
    </row>
    <row r="296" spans="1:7" x14ac:dyDescent="0.3">
      <c r="A296" s="24">
        <v>44968</v>
      </c>
      <c r="B296" s="23">
        <v>2023</v>
      </c>
      <c r="C296" s="23">
        <v>2</v>
      </c>
      <c r="D296" s="23" t="s">
        <v>17</v>
      </c>
      <c r="E296" s="23">
        <v>576</v>
      </c>
      <c r="F296" s="23">
        <v>10</v>
      </c>
      <c r="G296" s="23">
        <v>125</v>
      </c>
    </row>
    <row r="297" spans="1:7" x14ac:dyDescent="0.3">
      <c r="A297" s="24">
        <v>44968</v>
      </c>
      <c r="B297" s="23">
        <v>2023</v>
      </c>
      <c r="C297" s="23">
        <v>2</v>
      </c>
      <c r="D297" s="23" t="s">
        <v>17</v>
      </c>
      <c r="E297" s="23">
        <v>578</v>
      </c>
      <c r="F297" s="23">
        <v>4</v>
      </c>
      <c r="G297" s="23">
        <v>62</v>
      </c>
    </row>
    <row r="298" spans="1:7" x14ac:dyDescent="0.3">
      <c r="A298" s="24">
        <v>44968</v>
      </c>
      <c r="B298" s="23">
        <v>2023</v>
      </c>
      <c r="C298" s="23">
        <v>2</v>
      </c>
      <c r="D298" s="23" t="s">
        <v>17</v>
      </c>
      <c r="E298" s="23">
        <v>580</v>
      </c>
      <c r="F298" s="23">
        <v>9</v>
      </c>
      <c r="G298" s="23">
        <v>72</v>
      </c>
    </row>
    <row r="299" spans="1:7" x14ac:dyDescent="0.3">
      <c r="A299" s="24">
        <v>44968</v>
      </c>
      <c r="B299" s="23">
        <v>2023</v>
      </c>
      <c r="C299" s="23">
        <v>2</v>
      </c>
      <c r="D299" s="23" t="s">
        <v>17</v>
      </c>
      <c r="E299" s="23">
        <v>568</v>
      </c>
      <c r="F299" s="23">
        <v>7</v>
      </c>
      <c r="G299" s="23">
        <v>73.5</v>
      </c>
    </row>
    <row r="300" spans="1:7" x14ac:dyDescent="0.3">
      <c r="A300" s="24">
        <v>44969</v>
      </c>
      <c r="B300" s="23">
        <v>2023</v>
      </c>
      <c r="C300" s="23">
        <v>2</v>
      </c>
      <c r="D300" s="23" t="s">
        <v>17</v>
      </c>
      <c r="E300" s="23">
        <v>576</v>
      </c>
      <c r="F300" s="23">
        <v>10</v>
      </c>
      <c r="G300" s="23">
        <v>125</v>
      </c>
    </row>
    <row r="301" spans="1:7" x14ac:dyDescent="0.3">
      <c r="A301" s="24">
        <v>44969</v>
      </c>
      <c r="B301" s="23">
        <v>2023</v>
      </c>
      <c r="C301" s="23">
        <v>2</v>
      </c>
      <c r="D301" s="23" t="s">
        <v>17</v>
      </c>
      <c r="E301" s="23">
        <v>578</v>
      </c>
      <c r="F301" s="23">
        <v>10</v>
      </c>
      <c r="G301" s="23">
        <v>155</v>
      </c>
    </row>
    <row r="302" spans="1:7" x14ac:dyDescent="0.3">
      <c r="A302" s="24">
        <v>44969</v>
      </c>
      <c r="B302" s="23">
        <v>2023</v>
      </c>
      <c r="C302" s="23">
        <v>2</v>
      </c>
      <c r="D302" s="23" t="s">
        <v>17</v>
      </c>
      <c r="E302" s="23">
        <v>580</v>
      </c>
      <c r="F302" s="23">
        <v>6</v>
      </c>
      <c r="G302" s="23">
        <v>48</v>
      </c>
    </row>
    <row r="303" spans="1:7" x14ac:dyDescent="0.3">
      <c r="A303" s="24">
        <v>44969</v>
      </c>
      <c r="B303" s="23">
        <v>2023</v>
      </c>
      <c r="C303" s="23">
        <v>2</v>
      </c>
      <c r="D303" s="23" t="s">
        <v>17</v>
      </c>
      <c r="E303" s="23">
        <v>568</v>
      </c>
      <c r="F303" s="23">
        <v>7</v>
      </c>
      <c r="G303" s="23">
        <v>73.5</v>
      </c>
    </row>
    <row r="304" spans="1:7" x14ac:dyDescent="0.3">
      <c r="A304" s="24">
        <v>44978</v>
      </c>
      <c r="B304" s="23">
        <v>2023</v>
      </c>
      <c r="C304" s="23">
        <v>2</v>
      </c>
      <c r="D304" s="23" t="s">
        <v>17</v>
      </c>
      <c r="E304" s="23">
        <v>568</v>
      </c>
      <c r="F304" s="23">
        <v>3</v>
      </c>
      <c r="G304" s="23">
        <v>31.5</v>
      </c>
    </row>
    <row r="305" spans="1:7" x14ac:dyDescent="0.3">
      <c r="A305" s="24">
        <v>44980</v>
      </c>
      <c r="B305" s="23">
        <v>2023</v>
      </c>
      <c r="C305" s="23">
        <v>2</v>
      </c>
      <c r="D305" s="23" t="s">
        <v>17</v>
      </c>
      <c r="E305" s="23">
        <v>570</v>
      </c>
      <c r="F305" s="23">
        <v>3</v>
      </c>
      <c r="G305" s="23">
        <v>15</v>
      </c>
    </row>
    <row r="306" spans="1:7" x14ac:dyDescent="0.3">
      <c r="A306" s="24">
        <v>44981</v>
      </c>
      <c r="B306" s="23">
        <v>2023</v>
      </c>
      <c r="C306" s="23">
        <v>2</v>
      </c>
      <c r="D306" s="23" t="s">
        <v>17</v>
      </c>
      <c r="E306" s="23">
        <v>572</v>
      </c>
      <c r="F306" s="23">
        <v>5</v>
      </c>
      <c r="G306" s="23">
        <v>30</v>
      </c>
    </row>
    <row r="307" spans="1:7" x14ac:dyDescent="0.3">
      <c r="A307" s="24">
        <v>44982</v>
      </c>
      <c r="B307" s="23">
        <v>2023</v>
      </c>
      <c r="C307" s="23">
        <v>2</v>
      </c>
      <c r="D307" s="23" t="s">
        <v>17</v>
      </c>
      <c r="E307" s="23">
        <v>574</v>
      </c>
      <c r="F307" s="23">
        <v>5</v>
      </c>
      <c r="G307" s="23">
        <v>27.5</v>
      </c>
    </row>
    <row r="308" spans="1:7" x14ac:dyDescent="0.3">
      <c r="A308" s="24">
        <v>44984</v>
      </c>
      <c r="B308" s="23">
        <v>2023</v>
      </c>
      <c r="C308" s="23">
        <v>2</v>
      </c>
      <c r="D308" s="23" t="s">
        <v>17</v>
      </c>
      <c r="E308" s="23">
        <v>580</v>
      </c>
      <c r="F308" s="23">
        <v>8</v>
      </c>
      <c r="G308" s="23">
        <v>64</v>
      </c>
    </row>
    <row r="309" spans="1:7" x14ac:dyDescent="0.3">
      <c r="A309" s="24">
        <v>44984</v>
      </c>
      <c r="B309" s="23">
        <v>2023</v>
      </c>
      <c r="C309" s="23">
        <v>2</v>
      </c>
      <c r="D309" s="23" t="s">
        <v>17</v>
      </c>
      <c r="E309" s="23">
        <v>518</v>
      </c>
      <c r="F309" s="23">
        <v>3</v>
      </c>
      <c r="G309" s="23">
        <v>12</v>
      </c>
    </row>
    <row r="310" spans="1:7" x14ac:dyDescent="0.3">
      <c r="A310" s="24">
        <v>44985</v>
      </c>
      <c r="B310" s="23">
        <v>2023</v>
      </c>
      <c r="C310" s="23">
        <v>2</v>
      </c>
      <c r="D310" s="23" t="s">
        <v>17</v>
      </c>
      <c r="E310" s="23">
        <v>580</v>
      </c>
      <c r="F310" s="23">
        <v>9</v>
      </c>
      <c r="G310" s="23">
        <v>72</v>
      </c>
    </row>
    <row r="311" spans="1:7" x14ac:dyDescent="0.3">
      <c r="A311" s="24">
        <v>44985</v>
      </c>
      <c r="B311" s="23">
        <v>2023</v>
      </c>
      <c r="C311" s="23">
        <v>2</v>
      </c>
      <c r="D311" s="23" t="s">
        <v>17</v>
      </c>
      <c r="E311" s="23">
        <v>520</v>
      </c>
      <c r="F311" s="23">
        <v>5</v>
      </c>
      <c r="G311" s="23">
        <v>20</v>
      </c>
    </row>
    <row r="312" spans="1:7" x14ac:dyDescent="0.3">
      <c r="A312" s="24">
        <v>44985</v>
      </c>
      <c r="B312" s="23">
        <v>2023</v>
      </c>
      <c r="C312" s="23">
        <v>2</v>
      </c>
      <c r="D312" s="23" t="s">
        <v>17</v>
      </c>
      <c r="E312" s="23">
        <v>530</v>
      </c>
      <c r="F312" s="23">
        <v>7</v>
      </c>
      <c r="G312" s="23">
        <v>59.5</v>
      </c>
    </row>
    <row r="313" spans="1:7" x14ac:dyDescent="0.3">
      <c r="A313" s="24">
        <v>44985</v>
      </c>
      <c r="B313" s="23">
        <v>2023</v>
      </c>
      <c r="C313" s="23">
        <v>2</v>
      </c>
      <c r="D313" s="23" t="s">
        <v>17</v>
      </c>
      <c r="E313" s="23">
        <v>540</v>
      </c>
      <c r="F313" s="23">
        <v>10</v>
      </c>
      <c r="G313" s="23">
        <v>75</v>
      </c>
    </row>
    <row r="314" spans="1:7" x14ac:dyDescent="0.3">
      <c r="A314" s="24">
        <v>44985</v>
      </c>
      <c r="B314" s="23">
        <v>2023</v>
      </c>
      <c r="C314" s="23">
        <v>2</v>
      </c>
      <c r="D314" s="23" t="s">
        <v>17</v>
      </c>
      <c r="E314" s="23">
        <v>542</v>
      </c>
      <c r="F314" s="23">
        <v>3</v>
      </c>
      <c r="G314" s="23">
        <v>30</v>
      </c>
    </row>
    <row r="315" spans="1:7" x14ac:dyDescent="0.3">
      <c r="A315" s="24">
        <v>44985</v>
      </c>
      <c r="B315" s="23">
        <v>2023</v>
      </c>
      <c r="C315" s="23">
        <v>2</v>
      </c>
      <c r="D315" s="23" t="s">
        <v>17</v>
      </c>
      <c r="E315" s="23">
        <v>548</v>
      </c>
      <c r="F315" s="23">
        <v>5</v>
      </c>
      <c r="G315" s="23">
        <v>10</v>
      </c>
    </row>
    <row r="316" spans="1:7" x14ac:dyDescent="0.3">
      <c r="A316" s="24">
        <v>44992</v>
      </c>
      <c r="B316" s="23">
        <v>2023</v>
      </c>
      <c r="C316" s="23">
        <v>3</v>
      </c>
      <c r="D316" s="23" t="s">
        <v>18</v>
      </c>
      <c r="E316" s="23">
        <v>576</v>
      </c>
      <c r="F316" s="23">
        <v>4</v>
      </c>
      <c r="G316" s="23">
        <v>50</v>
      </c>
    </row>
    <row r="317" spans="1:7" x14ac:dyDescent="0.3">
      <c r="A317" s="24">
        <v>44993</v>
      </c>
      <c r="B317" s="23">
        <v>2023</v>
      </c>
      <c r="C317" s="23">
        <v>3</v>
      </c>
      <c r="D317" s="23" t="s">
        <v>18</v>
      </c>
      <c r="E317" s="23">
        <v>578</v>
      </c>
      <c r="F317" s="23">
        <v>4</v>
      </c>
      <c r="G317" s="23">
        <v>62</v>
      </c>
    </row>
    <row r="318" spans="1:7" x14ac:dyDescent="0.3">
      <c r="A318" s="24">
        <v>44999</v>
      </c>
      <c r="B318" s="23">
        <v>2023</v>
      </c>
      <c r="C318" s="23">
        <v>3</v>
      </c>
      <c r="D318" s="23" t="s">
        <v>18</v>
      </c>
      <c r="E318" s="23">
        <v>580</v>
      </c>
      <c r="F318" s="23">
        <v>5</v>
      </c>
      <c r="G318" s="23">
        <v>40</v>
      </c>
    </row>
    <row r="319" spans="1:7" x14ac:dyDescent="0.3">
      <c r="A319" s="24">
        <v>45000</v>
      </c>
      <c r="B319" s="23">
        <v>2023</v>
      </c>
      <c r="C319" s="23">
        <v>3</v>
      </c>
      <c r="D319" s="23" t="s">
        <v>18</v>
      </c>
      <c r="E319" s="23">
        <v>510</v>
      </c>
      <c r="F319" s="23">
        <v>5</v>
      </c>
      <c r="G319" s="23">
        <v>30</v>
      </c>
    </row>
    <row r="320" spans="1:7" x14ac:dyDescent="0.3">
      <c r="A320" s="24">
        <v>45000</v>
      </c>
      <c r="B320" s="23">
        <v>2023</v>
      </c>
      <c r="C320" s="23">
        <v>3</v>
      </c>
      <c r="D320" s="23" t="s">
        <v>18</v>
      </c>
      <c r="E320" s="23">
        <v>580</v>
      </c>
      <c r="F320" s="23">
        <v>9</v>
      </c>
      <c r="G320" s="23">
        <v>72</v>
      </c>
    </row>
    <row r="321" spans="1:7" x14ac:dyDescent="0.3">
      <c r="A321" s="24">
        <v>45001</v>
      </c>
      <c r="B321" s="23">
        <v>2023</v>
      </c>
      <c r="C321" s="23">
        <v>3</v>
      </c>
      <c r="D321" s="23" t="s">
        <v>18</v>
      </c>
      <c r="E321" s="23">
        <v>514</v>
      </c>
      <c r="F321" s="23">
        <v>7</v>
      </c>
      <c r="G321" s="23">
        <v>45.5</v>
      </c>
    </row>
    <row r="322" spans="1:7" x14ac:dyDescent="0.3">
      <c r="A322" s="24">
        <v>45001</v>
      </c>
      <c r="B322" s="23">
        <v>2023</v>
      </c>
      <c r="C322" s="23">
        <v>3</v>
      </c>
      <c r="D322" s="23" t="s">
        <v>18</v>
      </c>
      <c r="E322" s="23">
        <v>580</v>
      </c>
      <c r="F322" s="23">
        <v>8</v>
      </c>
      <c r="G322" s="23">
        <v>64</v>
      </c>
    </row>
    <row r="323" spans="1:7" x14ac:dyDescent="0.3">
      <c r="A323" s="24">
        <v>45002</v>
      </c>
      <c r="B323" s="23">
        <v>2023</v>
      </c>
      <c r="C323" s="23">
        <v>3</v>
      </c>
      <c r="D323" s="23" t="s">
        <v>18</v>
      </c>
      <c r="E323" s="23">
        <v>516</v>
      </c>
      <c r="F323" s="23">
        <v>5</v>
      </c>
      <c r="G323" s="23">
        <v>22.5</v>
      </c>
    </row>
    <row r="324" spans="1:7" x14ac:dyDescent="0.3">
      <c r="A324" s="24">
        <v>45002</v>
      </c>
      <c r="B324" s="23">
        <v>2023</v>
      </c>
      <c r="C324" s="23">
        <v>3</v>
      </c>
      <c r="D324" s="23" t="s">
        <v>18</v>
      </c>
      <c r="E324" s="23">
        <v>580</v>
      </c>
      <c r="F324" s="23">
        <v>9</v>
      </c>
      <c r="G324" s="23">
        <v>72</v>
      </c>
    </row>
    <row r="325" spans="1:7" x14ac:dyDescent="0.3">
      <c r="A325" s="24">
        <v>45003</v>
      </c>
      <c r="B325" s="23">
        <v>2023</v>
      </c>
      <c r="C325" s="23">
        <v>3</v>
      </c>
      <c r="D325" s="23" t="s">
        <v>18</v>
      </c>
      <c r="E325" s="23">
        <v>518</v>
      </c>
      <c r="F325" s="23">
        <v>3</v>
      </c>
      <c r="G325" s="23">
        <v>12</v>
      </c>
    </row>
    <row r="326" spans="1:7" x14ac:dyDescent="0.3">
      <c r="A326" s="24">
        <v>45003</v>
      </c>
      <c r="B326" s="23">
        <v>2023</v>
      </c>
      <c r="C326" s="23">
        <v>3</v>
      </c>
      <c r="D326" s="23" t="s">
        <v>18</v>
      </c>
      <c r="E326" s="23">
        <v>580</v>
      </c>
      <c r="F326" s="23">
        <v>7</v>
      </c>
      <c r="G326" s="23">
        <v>56</v>
      </c>
    </row>
    <row r="327" spans="1:7" x14ac:dyDescent="0.3">
      <c r="A327" s="24">
        <v>45004</v>
      </c>
      <c r="B327" s="23">
        <v>2023</v>
      </c>
      <c r="C327" s="23">
        <v>3</v>
      </c>
      <c r="D327" s="23" t="s">
        <v>18</v>
      </c>
      <c r="E327" s="23">
        <v>520</v>
      </c>
      <c r="F327" s="23">
        <v>5</v>
      </c>
      <c r="G327" s="23">
        <v>20</v>
      </c>
    </row>
    <row r="328" spans="1:7" x14ac:dyDescent="0.3">
      <c r="A328" s="24">
        <v>45005</v>
      </c>
      <c r="B328" s="23">
        <v>2023</v>
      </c>
      <c r="C328" s="23">
        <v>3</v>
      </c>
      <c r="D328" s="23" t="s">
        <v>18</v>
      </c>
      <c r="E328" s="23">
        <v>530</v>
      </c>
      <c r="F328" s="23">
        <v>7</v>
      </c>
      <c r="G328" s="23">
        <v>59.5</v>
      </c>
    </row>
    <row r="329" spans="1:7" x14ac:dyDescent="0.3">
      <c r="A329" s="24">
        <v>45005</v>
      </c>
      <c r="B329" s="23">
        <v>2023</v>
      </c>
      <c r="C329" s="23">
        <v>3</v>
      </c>
      <c r="D329" s="23" t="s">
        <v>18</v>
      </c>
      <c r="E329" s="23">
        <v>540</v>
      </c>
      <c r="F329" s="23">
        <v>10</v>
      </c>
      <c r="G329" s="23">
        <v>75</v>
      </c>
    </row>
    <row r="330" spans="1:7" x14ac:dyDescent="0.3">
      <c r="A330" s="24">
        <v>45005</v>
      </c>
      <c r="B330" s="23">
        <v>2023</v>
      </c>
      <c r="C330" s="23">
        <v>3</v>
      </c>
      <c r="D330" s="23" t="s">
        <v>18</v>
      </c>
      <c r="E330" s="23">
        <v>542</v>
      </c>
      <c r="F330" s="23">
        <v>2</v>
      </c>
      <c r="G330" s="23">
        <v>20</v>
      </c>
    </row>
    <row r="331" spans="1:7" x14ac:dyDescent="0.3">
      <c r="A331" s="24">
        <v>45005</v>
      </c>
      <c r="B331" s="23">
        <v>2023</v>
      </c>
      <c r="C331" s="23">
        <v>3</v>
      </c>
      <c r="D331" s="23" t="s">
        <v>18</v>
      </c>
      <c r="E331" s="23">
        <v>548</v>
      </c>
      <c r="F331" s="23">
        <v>5</v>
      </c>
      <c r="G331" s="23">
        <v>10</v>
      </c>
    </row>
    <row r="332" spans="1:7" x14ac:dyDescent="0.3">
      <c r="A332" s="24">
        <v>45005</v>
      </c>
      <c r="B332" s="23">
        <v>2023</v>
      </c>
      <c r="C332" s="23">
        <v>3</v>
      </c>
      <c r="D332" s="23" t="s">
        <v>18</v>
      </c>
      <c r="E332" s="23">
        <v>560</v>
      </c>
      <c r="F332" s="23">
        <v>10</v>
      </c>
      <c r="G332" s="23">
        <v>80</v>
      </c>
    </row>
    <row r="333" spans="1:7" x14ac:dyDescent="0.3">
      <c r="A333" s="24">
        <v>45005</v>
      </c>
      <c r="B333" s="23">
        <v>2023</v>
      </c>
      <c r="C333" s="23">
        <v>3</v>
      </c>
      <c r="D333" s="23" t="s">
        <v>18</v>
      </c>
      <c r="E333" s="23">
        <v>572</v>
      </c>
      <c r="F333" s="23">
        <v>6</v>
      </c>
      <c r="G333" s="23">
        <v>36</v>
      </c>
    </row>
    <row r="334" spans="1:7" x14ac:dyDescent="0.3">
      <c r="A334" s="24">
        <v>45005</v>
      </c>
      <c r="B334" s="23">
        <v>2023</v>
      </c>
      <c r="C334" s="23">
        <v>3</v>
      </c>
      <c r="D334" s="23" t="s">
        <v>18</v>
      </c>
      <c r="E334" s="23">
        <v>574</v>
      </c>
      <c r="F334" s="23">
        <v>5</v>
      </c>
      <c r="G334" s="23">
        <v>27.5</v>
      </c>
    </row>
    <row r="335" spans="1:7" x14ac:dyDescent="0.3">
      <c r="A335" s="24">
        <v>45006</v>
      </c>
      <c r="B335" s="23">
        <v>2023</v>
      </c>
      <c r="C335" s="23">
        <v>3</v>
      </c>
      <c r="D335" s="23" t="s">
        <v>18</v>
      </c>
      <c r="E335" s="23">
        <v>568</v>
      </c>
      <c r="F335" s="23">
        <v>7</v>
      </c>
      <c r="G335" s="23">
        <v>73.5</v>
      </c>
    </row>
    <row r="336" spans="1:7" x14ac:dyDescent="0.3">
      <c r="A336" s="24">
        <v>45007</v>
      </c>
      <c r="B336" s="23">
        <v>2023</v>
      </c>
      <c r="C336" s="23">
        <v>3</v>
      </c>
      <c r="D336" s="23" t="s">
        <v>18</v>
      </c>
      <c r="E336" s="23">
        <v>580</v>
      </c>
      <c r="F336" s="23">
        <v>8</v>
      </c>
      <c r="G336" s="23">
        <v>64</v>
      </c>
    </row>
    <row r="337" spans="1:7" x14ac:dyDescent="0.3">
      <c r="A337" s="24">
        <v>45007</v>
      </c>
      <c r="B337" s="23">
        <v>2023</v>
      </c>
      <c r="C337" s="23">
        <v>3</v>
      </c>
      <c r="D337" s="23" t="s">
        <v>18</v>
      </c>
      <c r="E337" s="23">
        <v>580</v>
      </c>
      <c r="F337" s="23">
        <v>8</v>
      </c>
      <c r="G337" s="23">
        <v>64</v>
      </c>
    </row>
    <row r="338" spans="1:7" x14ac:dyDescent="0.3">
      <c r="A338" s="24">
        <v>45007</v>
      </c>
      <c r="B338" s="23">
        <v>2023</v>
      </c>
      <c r="C338" s="23">
        <v>3</v>
      </c>
      <c r="D338" s="23" t="s">
        <v>18</v>
      </c>
      <c r="E338" s="23">
        <v>576</v>
      </c>
      <c r="F338" s="23">
        <v>10</v>
      </c>
      <c r="G338" s="23">
        <v>125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DBDD-648C-4F69-A849-A19E3B9AE646}">
  <dimension ref="A1:I14"/>
  <sheetViews>
    <sheetView tabSelected="1" zoomScale="160" zoomScaleNormal="160" workbookViewId="0">
      <selection activeCell="B17" sqref="B17"/>
    </sheetView>
  </sheetViews>
  <sheetFormatPr defaultRowHeight="14.4" x14ac:dyDescent="0.3"/>
  <cols>
    <col min="1" max="2" width="17.88671875" bestFit="1" customWidth="1"/>
    <col min="3" max="3" width="3.44140625" customWidth="1"/>
    <col min="4" max="4" width="11.88671875" bestFit="1" customWidth="1"/>
    <col min="5" max="5" width="14.5546875" customWidth="1"/>
    <col min="6" max="6" width="2.6640625" customWidth="1"/>
    <col min="8" max="8" width="11.88671875" bestFit="1" customWidth="1"/>
    <col min="9" max="9" width="12.109375" bestFit="1" customWidth="1"/>
  </cols>
  <sheetData>
    <row r="1" spans="1:9" ht="15" thickBot="1" x14ac:dyDescent="0.35">
      <c r="A1" s="6" t="s">
        <v>0</v>
      </c>
      <c r="B1" s="7">
        <f>Dashboard!Q11</f>
        <v>2022</v>
      </c>
      <c r="D1" s="56" t="s">
        <v>4</v>
      </c>
      <c r="E1" s="57"/>
      <c r="G1" s="56" t="s">
        <v>5</v>
      </c>
      <c r="H1" s="58"/>
      <c r="I1" s="57"/>
    </row>
    <row r="2" spans="1:9" ht="15" thickBot="1" x14ac:dyDescent="0.35">
      <c r="D2" s="8" cm="1">
        <f t="array" ref="D2:D3">_xlfn.UNIQUE(Vendas[Ano])</f>
        <v>2022</v>
      </c>
      <c r="E2" s="9">
        <f>SUMIF(Vendas!B:B,Base!D2,Vendas!G:G)</f>
        <v>8065.5</v>
      </c>
      <c r="G2" s="10" t="s">
        <v>6</v>
      </c>
      <c r="H2" s="11" t="s">
        <v>1</v>
      </c>
      <c r="I2" s="12" t="s">
        <v>7</v>
      </c>
    </row>
    <row r="3" spans="1:9" ht="15" thickBot="1" x14ac:dyDescent="0.35">
      <c r="A3" s="13" t="s">
        <v>2</v>
      </c>
      <c r="B3" s="14">
        <f>SUMIF(Vendas!B:B,Base!B1,Vendas!G:G)</f>
        <v>8065.5</v>
      </c>
      <c r="D3" s="15">
        <v>2023</v>
      </c>
      <c r="E3" s="9">
        <f>SUMIF(Vendas!B:B,Base!D3,Vendas!G:G)</f>
        <v>3681</v>
      </c>
      <c r="G3" s="16">
        <v>1</v>
      </c>
      <c r="H3" s="17" t="str">
        <f>LEFT(_xlfn.XLOOKUP(G3,Vendas!C:C,Vendas!D:D,,0,1),3)</f>
        <v>Jan</v>
      </c>
      <c r="I3" s="18">
        <f>SUMIFS(Vendas!G:G,Vendas!B:B,Base!$B$1,Vendas!C:C,Base!G3)</f>
        <v>784.5</v>
      </c>
    </row>
    <row r="4" spans="1:9" ht="15" thickBot="1" x14ac:dyDescent="0.35">
      <c r="D4" s="15"/>
      <c r="E4" s="15"/>
      <c r="G4" s="19">
        <v>2</v>
      </c>
      <c r="H4" s="17" t="str">
        <f>LEFT(_xlfn.XLOOKUP(G4,Vendas!C:C,Vendas!D:D,,0,1),3)</f>
        <v>Fev</v>
      </c>
      <c r="I4" s="18">
        <f>SUMIFS(Vendas!G:G,Vendas!B:B,Base!$B$1,Vendas!C:C,Base!G4)</f>
        <v>667</v>
      </c>
    </row>
    <row r="5" spans="1:9" ht="15" thickBot="1" x14ac:dyDescent="0.35">
      <c r="A5" s="13" t="s">
        <v>3</v>
      </c>
      <c r="B5" s="20">
        <f>MAX(I3:I14)</f>
        <v>836.5</v>
      </c>
      <c r="D5" s="15"/>
      <c r="E5" s="15"/>
      <c r="G5" s="19">
        <v>3</v>
      </c>
      <c r="H5" s="17" t="str">
        <f>LEFT(_xlfn.XLOOKUP(G5,Vendas!C:C,Vendas!D:D,,0,1),3)</f>
        <v>Mar</v>
      </c>
      <c r="I5" s="18">
        <f>SUMIFS(Vendas!G:G,Vendas!B:B,Base!$B$1,Vendas!C:C,Base!G5)</f>
        <v>664</v>
      </c>
    </row>
    <row r="6" spans="1:9" ht="15" thickBot="1" x14ac:dyDescent="0.35">
      <c r="D6" s="15"/>
      <c r="E6" s="15"/>
      <c r="G6" s="19">
        <v>4</v>
      </c>
      <c r="H6" s="17" t="str">
        <f>LEFT(_xlfn.XLOOKUP(G6,Vendas!C:C,Vendas!D:D,,0,1),3)</f>
        <v>Abr</v>
      </c>
      <c r="I6" s="18">
        <f>SUMIFS(Vendas!G:G,Vendas!B:B,Base!$B$1,Vendas!C:C,Base!G6)</f>
        <v>531.5</v>
      </c>
    </row>
    <row r="7" spans="1:9" ht="15" thickBot="1" x14ac:dyDescent="0.35">
      <c r="A7" s="13" t="s">
        <v>8</v>
      </c>
      <c r="B7" s="21" t="str">
        <f>_xlfn.XLOOKUP(B5,I3:I14,H3:H14,,0)</f>
        <v>Dez</v>
      </c>
      <c r="D7" s="15"/>
      <c r="E7" s="15"/>
      <c r="G7" s="19">
        <v>5</v>
      </c>
      <c r="H7" s="17" t="str">
        <f>LEFT(_xlfn.XLOOKUP(G7,Vendas!C:C,Vendas!D:D,,0,1),3)</f>
        <v>Mai</v>
      </c>
      <c r="I7" s="18">
        <f>SUMIFS(Vendas!G:G,Vendas!B:B,Base!$B$1,Vendas!C:C,Base!G7)</f>
        <v>712.5</v>
      </c>
    </row>
    <row r="8" spans="1:9" x14ac:dyDescent="0.3">
      <c r="D8" s="15"/>
      <c r="E8" s="15"/>
      <c r="G8" s="19">
        <v>6</v>
      </c>
      <c r="H8" s="17" t="str">
        <f>LEFT(_xlfn.XLOOKUP(G8,Vendas!C:C,Vendas!D:D,,0,1),3)</f>
        <v>Jun</v>
      </c>
      <c r="I8" s="18">
        <f>SUMIFS(Vendas!G:G,Vendas!B:B,Base!$B$1,Vendas!C:C,Base!G8)</f>
        <v>762.5</v>
      </c>
    </row>
    <row r="9" spans="1:9" x14ac:dyDescent="0.3">
      <c r="D9" s="15"/>
      <c r="E9" s="15"/>
      <c r="G9" s="19">
        <v>7</v>
      </c>
      <c r="H9" s="17" t="str">
        <f>LEFT(_xlfn.XLOOKUP(G9,Vendas!C:C,Vendas!D:D,,0,1),3)</f>
        <v>Jul</v>
      </c>
      <c r="I9" s="18">
        <f>SUMIFS(Vendas!G:G,Vendas!B:B,Base!$B$1,Vendas!C:C,Base!G9)</f>
        <v>624.5</v>
      </c>
    </row>
    <row r="10" spans="1:9" x14ac:dyDescent="0.3">
      <c r="D10" s="15"/>
      <c r="E10" s="15"/>
      <c r="G10" s="19">
        <v>8</v>
      </c>
      <c r="H10" s="17" t="str">
        <f>LEFT(_xlfn.XLOOKUP(G10,Vendas!C:C,Vendas!D:D,,0,1),3)</f>
        <v>Ago</v>
      </c>
      <c r="I10" s="18">
        <f>SUMIFS(Vendas!G:G,Vendas!B:B,Base!$B$1,Vendas!C:C,Base!G10)</f>
        <v>651</v>
      </c>
    </row>
    <row r="11" spans="1:9" x14ac:dyDescent="0.3">
      <c r="G11" s="19">
        <v>9</v>
      </c>
      <c r="H11" s="17" t="str">
        <f>LEFT(_xlfn.XLOOKUP(G11,Vendas!C:C,Vendas!D:D,,0,1),3)</f>
        <v>Set</v>
      </c>
      <c r="I11" s="18">
        <f>SUMIFS(Vendas!G:G,Vendas!B:B,Base!$B$1,Vendas!C:C,Base!G11)</f>
        <v>529</v>
      </c>
    </row>
    <row r="12" spans="1:9" x14ac:dyDescent="0.3">
      <c r="G12" s="19">
        <v>10</v>
      </c>
      <c r="H12" s="17" t="str">
        <f>LEFT(_xlfn.XLOOKUP(G12,Vendas!C:C,Vendas!D:D,,0,1),3)</f>
        <v>Out</v>
      </c>
      <c r="I12" s="18">
        <f>SUMIFS(Vendas!G:G,Vendas!B:B,Base!$B$1,Vendas!C:C,Base!G12)</f>
        <v>691</v>
      </c>
    </row>
    <row r="13" spans="1:9" x14ac:dyDescent="0.3">
      <c r="G13" s="19">
        <v>11</v>
      </c>
      <c r="H13" s="17" t="str">
        <f>LEFT(_xlfn.XLOOKUP(G13,Vendas!C:C,Vendas!D:D,,0,1),3)</f>
        <v>Nov</v>
      </c>
      <c r="I13" s="18">
        <f>SUMIFS(Vendas!G:G,Vendas!B:B,Base!$B$1,Vendas!C:C,Base!G13)</f>
        <v>611.5</v>
      </c>
    </row>
    <row r="14" spans="1:9" ht="15" thickBot="1" x14ac:dyDescent="0.35">
      <c r="G14" s="22">
        <v>12</v>
      </c>
      <c r="H14" s="17" t="str">
        <f>LEFT(_xlfn.XLOOKUP(G14,Vendas!C:C,Vendas!D:D,,0,1),3)</f>
        <v>Dez</v>
      </c>
      <c r="I14" s="18">
        <f>SUMIFS(Vendas!G:G,Vendas!B:B,Base!$B$1,Vendas!C:C,Base!G14)</f>
        <v>836.5</v>
      </c>
    </row>
  </sheetData>
  <mergeCells count="2">
    <mergeCell ref="D1:E1"/>
    <mergeCell ref="G1:I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DEE6-1791-449F-A984-8CBAE8E81C71}">
  <dimension ref="A1:B3"/>
  <sheetViews>
    <sheetView workbookViewId="0">
      <selection activeCell="L15" sqref="L15"/>
    </sheetView>
  </sheetViews>
  <sheetFormatPr defaultRowHeight="14.4" x14ac:dyDescent="0.3"/>
  <cols>
    <col min="1" max="1" width="6.6640625" bestFit="1" customWidth="1"/>
    <col min="2" max="2" width="14.109375" bestFit="1" customWidth="1"/>
  </cols>
  <sheetData>
    <row r="1" spans="1:2" x14ac:dyDescent="0.3">
      <c r="A1" t="s">
        <v>0</v>
      </c>
      <c r="B1" t="s">
        <v>7</v>
      </c>
    </row>
    <row r="2" spans="1:2" x14ac:dyDescent="0.3">
      <c r="A2">
        <v>2022</v>
      </c>
      <c r="B2" s="25">
        <v>8065.5</v>
      </c>
    </row>
    <row r="3" spans="1:2" x14ac:dyDescent="0.3">
      <c r="A3">
        <v>2023</v>
      </c>
      <c r="B3" s="25">
        <v>3681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C859-DA9E-4D7E-BAB1-D4D3299C3604}">
  <dimension ref="A1:C13"/>
  <sheetViews>
    <sheetView workbookViewId="0"/>
  </sheetViews>
  <sheetFormatPr defaultRowHeight="14.4" x14ac:dyDescent="0.3"/>
  <cols>
    <col min="1" max="1" width="13.5546875" bestFit="1" customWidth="1"/>
    <col min="2" max="2" width="23.6640625" bestFit="1" customWidth="1"/>
    <col min="3" max="4" width="14.109375" bestFit="1" customWidth="1"/>
    <col min="5" max="5" width="13.44140625" bestFit="1" customWidth="1"/>
    <col min="6" max="6" width="13.5546875" bestFit="1" customWidth="1"/>
    <col min="7" max="7" width="22" bestFit="1" customWidth="1"/>
    <col min="8" max="8" width="19.21875" bestFit="1" customWidth="1"/>
    <col min="9" max="9" width="20.109375" bestFit="1" customWidth="1"/>
    <col min="10" max="10" width="14.77734375" bestFit="1" customWidth="1"/>
  </cols>
  <sheetData>
    <row r="1" spans="1:3" x14ac:dyDescent="0.3">
      <c r="A1" t="s">
        <v>28</v>
      </c>
      <c r="B1" t="s">
        <v>29</v>
      </c>
      <c r="C1" t="s">
        <v>7</v>
      </c>
    </row>
    <row r="2" spans="1:3" x14ac:dyDescent="0.3">
      <c r="A2">
        <v>1</v>
      </c>
      <c r="B2" t="s">
        <v>30</v>
      </c>
      <c r="C2" s="25">
        <v>784.5</v>
      </c>
    </row>
    <row r="3" spans="1:3" x14ac:dyDescent="0.3">
      <c r="A3">
        <v>2</v>
      </c>
      <c r="B3" t="s">
        <v>31</v>
      </c>
      <c r="C3" s="25">
        <v>667</v>
      </c>
    </row>
    <row r="4" spans="1:3" x14ac:dyDescent="0.3">
      <c r="A4">
        <v>3</v>
      </c>
      <c r="B4" t="s">
        <v>32</v>
      </c>
      <c r="C4" s="25">
        <v>664</v>
      </c>
    </row>
    <row r="5" spans="1:3" x14ac:dyDescent="0.3">
      <c r="A5">
        <v>4</v>
      </c>
      <c r="B5" t="s">
        <v>33</v>
      </c>
      <c r="C5" s="25">
        <v>531.5</v>
      </c>
    </row>
    <row r="6" spans="1:3" x14ac:dyDescent="0.3">
      <c r="A6">
        <v>5</v>
      </c>
      <c r="B6" t="s">
        <v>34</v>
      </c>
      <c r="C6" s="25">
        <v>712.5</v>
      </c>
    </row>
    <row r="7" spans="1:3" x14ac:dyDescent="0.3">
      <c r="A7">
        <v>6</v>
      </c>
      <c r="B7" t="s">
        <v>35</v>
      </c>
      <c r="C7" s="25">
        <v>762.5</v>
      </c>
    </row>
    <row r="8" spans="1:3" x14ac:dyDescent="0.3">
      <c r="A8">
        <v>7</v>
      </c>
      <c r="B8" t="s">
        <v>36</v>
      </c>
      <c r="C8" s="25">
        <v>624.5</v>
      </c>
    </row>
    <row r="9" spans="1:3" x14ac:dyDescent="0.3">
      <c r="A9">
        <v>8</v>
      </c>
      <c r="B9" t="s">
        <v>37</v>
      </c>
      <c r="C9" s="25">
        <v>651</v>
      </c>
    </row>
    <row r="10" spans="1:3" x14ac:dyDescent="0.3">
      <c r="A10">
        <v>9</v>
      </c>
      <c r="B10" t="s">
        <v>38</v>
      </c>
      <c r="C10" s="25">
        <v>529</v>
      </c>
    </row>
    <row r="11" spans="1:3" x14ac:dyDescent="0.3">
      <c r="A11">
        <v>10</v>
      </c>
      <c r="B11" t="s">
        <v>39</v>
      </c>
      <c r="C11" s="25">
        <v>691</v>
      </c>
    </row>
    <row r="12" spans="1:3" x14ac:dyDescent="0.3">
      <c r="A12">
        <v>11</v>
      </c>
      <c r="B12" t="s">
        <v>40</v>
      </c>
      <c r="C12" s="25">
        <v>611.5</v>
      </c>
    </row>
    <row r="13" spans="1:3" x14ac:dyDescent="0.3">
      <c r="A13">
        <v>12</v>
      </c>
      <c r="B13" t="s">
        <v>41</v>
      </c>
      <c r="C13" s="25">
        <v>836.5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8E7C-4102-4B12-8EA8-183BB11B92E1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f>Dashboard!Q11</f>
        <v>2022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C23E-B921-43FA-8D02-42EB87E7DE53}">
  <dimension ref="B1:BC26"/>
  <sheetViews>
    <sheetView showGridLines="0" workbookViewId="0">
      <selection activeCell="Q11" sqref="Q11:V12"/>
    </sheetView>
  </sheetViews>
  <sheetFormatPr defaultColWidth="2.33203125" defaultRowHeight="9" customHeight="1" x14ac:dyDescent="0.3"/>
  <sheetData>
    <row r="1" spans="2:55" ht="9" customHeight="1" thickBot="1" x14ac:dyDescent="0.35"/>
    <row r="2" spans="2:55" ht="9" customHeight="1" thickTop="1" x14ac:dyDescent="0.3">
      <c r="P2" s="44">
        <f>Base!B3</f>
        <v>8065.5</v>
      </c>
      <c r="Q2" s="45"/>
      <c r="R2" s="45"/>
      <c r="S2" s="45"/>
      <c r="T2" s="45"/>
      <c r="U2" s="45"/>
      <c r="V2" s="45"/>
      <c r="W2" s="45"/>
      <c r="X2" s="45"/>
      <c r="Y2" s="45"/>
      <c r="Z2" s="45"/>
      <c r="AA2" s="46"/>
      <c r="AD2" s="44">
        <f>Base!B5</f>
        <v>836.5</v>
      </c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6"/>
      <c r="AR2" s="50" t="str">
        <f>Base!B7</f>
        <v>Dez</v>
      </c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2"/>
    </row>
    <row r="3" spans="2:55" ht="9" customHeight="1" x14ac:dyDescent="0.3">
      <c r="P3" s="47"/>
      <c r="Q3" s="48"/>
      <c r="R3" s="48"/>
      <c r="S3" s="48"/>
      <c r="T3" s="48"/>
      <c r="U3" s="48"/>
      <c r="V3" s="48"/>
      <c r="W3" s="48"/>
      <c r="X3" s="48"/>
      <c r="Y3" s="48"/>
      <c r="Z3" s="48"/>
      <c r="AA3" s="49"/>
      <c r="AD3" s="47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9"/>
      <c r="AR3" s="53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5"/>
    </row>
    <row r="4" spans="2:55" ht="9" customHeight="1" x14ac:dyDescent="0.3">
      <c r="P4" s="47"/>
      <c r="Q4" s="48"/>
      <c r="R4" s="48"/>
      <c r="S4" s="48"/>
      <c r="T4" s="48"/>
      <c r="U4" s="48"/>
      <c r="V4" s="48"/>
      <c r="W4" s="48"/>
      <c r="X4" s="48"/>
      <c r="Y4" s="48"/>
      <c r="Z4" s="48"/>
      <c r="AA4" s="49"/>
      <c r="AD4" s="47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  <c r="AR4" s="53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5"/>
    </row>
    <row r="5" spans="2:55" ht="9" customHeight="1" x14ac:dyDescent="0.3">
      <c r="P5" s="47"/>
      <c r="Q5" s="48"/>
      <c r="R5" s="48"/>
      <c r="S5" s="48"/>
      <c r="T5" s="48"/>
      <c r="U5" s="48"/>
      <c r="V5" s="48"/>
      <c r="W5" s="48"/>
      <c r="X5" s="48"/>
      <c r="Y5" s="48"/>
      <c r="Z5" s="48"/>
      <c r="AA5" s="49"/>
      <c r="AD5" s="47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9"/>
      <c r="AR5" s="53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5"/>
    </row>
    <row r="6" spans="2:55" ht="9" customHeight="1" x14ac:dyDescent="0.3">
      <c r="P6" s="38" t="s">
        <v>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40"/>
      <c r="AD6" s="38" t="s">
        <v>9</v>
      </c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40"/>
      <c r="AR6" s="38" t="s">
        <v>10</v>
      </c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40"/>
    </row>
    <row r="7" spans="2:55" ht="9" customHeight="1" thickBot="1" x14ac:dyDescent="0.35">
      <c r="P7" s="41"/>
      <c r="Q7" s="42"/>
      <c r="R7" s="42"/>
      <c r="S7" s="42"/>
      <c r="T7" s="42"/>
      <c r="U7" s="42"/>
      <c r="V7" s="42"/>
      <c r="W7" s="42"/>
      <c r="X7" s="42"/>
      <c r="Y7" s="42"/>
      <c r="Z7" s="42"/>
      <c r="AA7" s="43"/>
      <c r="AD7" s="41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3"/>
      <c r="AR7" s="41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3"/>
    </row>
    <row r="8" spans="2:55" ht="9" customHeight="1" thickTop="1" thickBot="1" x14ac:dyDescent="0.35"/>
    <row r="9" spans="2:55" ht="9" customHeight="1" thickTop="1" x14ac:dyDescent="0.3">
      <c r="B9" s="26" t="s">
        <v>4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  <c r="Q9" s="26" t="s">
        <v>5</v>
      </c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8"/>
    </row>
    <row r="10" spans="2:55" ht="9" customHeight="1" x14ac:dyDescent="0.3">
      <c r="B10" s="29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1"/>
      <c r="Q10" s="29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1"/>
    </row>
    <row r="11" spans="2:55" ht="9" customHeight="1" x14ac:dyDescent="0.3">
      <c r="B11" s="1"/>
      <c r="O11" s="2"/>
      <c r="Q11" s="32">
        <v>2022</v>
      </c>
      <c r="R11" s="33"/>
      <c r="S11" s="33"/>
      <c r="T11" s="33"/>
      <c r="U11" s="33"/>
      <c r="V11" s="34"/>
      <c r="BC11" s="2"/>
    </row>
    <row r="12" spans="2:55" ht="9" customHeight="1" thickBot="1" x14ac:dyDescent="0.35">
      <c r="B12" s="1"/>
      <c r="O12" s="2"/>
      <c r="Q12" s="35"/>
      <c r="R12" s="36"/>
      <c r="S12" s="36"/>
      <c r="T12" s="36"/>
      <c r="U12" s="36"/>
      <c r="V12" s="37"/>
      <c r="BC12" s="2"/>
    </row>
    <row r="13" spans="2:55" ht="9" customHeight="1" thickTop="1" x14ac:dyDescent="0.3">
      <c r="B13" s="1"/>
      <c r="O13" s="2"/>
      <c r="Q13" s="1"/>
      <c r="BC13" s="2"/>
    </row>
    <row r="14" spans="2:55" ht="9" customHeight="1" x14ac:dyDescent="0.3">
      <c r="B14" s="1"/>
      <c r="O14" s="2"/>
      <c r="Q14" s="1"/>
      <c r="BC14" s="2"/>
    </row>
    <row r="15" spans="2:55" ht="9" customHeight="1" x14ac:dyDescent="0.3">
      <c r="B15" s="1"/>
      <c r="O15" s="2"/>
      <c r="Q15" s="1"/>
      <c r="BC15" s="2"/>
    </row>
    <row r="16" spans="2:55" ht="9" customHeight="1" x14ac:dyDescent="0.3">
      <c r="B16" s="1"/>
      <c r="O16" s="2"/>
      <c r="Q16" s="1"/>
      <c r="BC16" s="2"/>
    </row>
    <row r="17" spans="2:55" ht="9" customHeight="1" x14ac:dyDescent="0.3">
      <c r="B17" s="1"/>
      <c r="O17" s="2"/>
      <c r="Q17" s="1"/>
      <c r="BC17" s="2"/>
    </row>
    <row r="18" spans="2:55" ht="9" customHeight="1" x14ac:dyDescent="0.3">
      <c r="B18" s="1"/>
      <c r="O18" s="2"/>
      <c r="Q18" s="1"/>
      <c r="BC18" s="2"/>
    </row>
    <row r="19" spans="2:55" ht="9" customHeight="1" x14ac:dyDescent="0.3">
      <c r="B19" s="1"/>
      <c r="O19" s="2"/>
      <c r="Q19" s="1"/>
      <c r="BC19" s="2"/>
    </row>
    <row r="20" spans="2:55" ht="9" customHeight="1" x14ac:dyDescent="0.3">
      <c r="B20" s="1"/>
      <c r="O20" s="2"/>
      <c r="Q20" s="1"/>
      <c r="BC20" s="2"/>
    </row>
    <row r="21" spans="2:55" ht="9" customHeight="1" x14ac:dyDescent="0.3">
      <c r="B21" s="1"/>
      <c r="O21" s="2"/>
      <c r="Q21" s="1"/>
      <c r="BC21" s="2"/>
    </row>
    <row r="22" spans="2:55" ht="9" customHeight="1" x14ac:dyDescent="0.3">
      <c r="B22" s="1"/>
      <c r="O22" s="2"/>
      <c r="Q22" s="1"/>
      <c r="BC22" s="2"/>
    </row>
    <row r="23" spans="2:55" ht="9" customHeight="1" x14ac:dyDescent="0.3">
      <c r="B23" s="1"/>
      <c r="O23" s="2"/>
      <c r="Q23" s="1"/>
      <c r="BC23" s="2"/>
    </row>
    <row r="24" spans="2:55" ht="9" customHeight="1" x14ac:dyDescent="0.3">
      <c r="B24" s="1"/>
      <c r="O24" s="2"/>
      <c r="Q24" s="1"/>
      <c r="BC24" s="2"/>
    </row>
    <row r="25" spans="2:55" ht="9" customHeight="1" thickBot="1" x14ac:dyDescent="0.35"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5"/>
      <c r="Q25" s="3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5"/>
    </row>
    <row r="26" spans="2:55" ht="9" customHeight="1" thickTop="1" x14ac:dyDescent="0.3"/>
  </sheetData>
  <mergeCells count="9">
    <mergeCell ref="B9:O10"/>
    <mergeCell ref="Q9:BC10"/>
    <mergeCell ref="Q11:V12"/>
    <mergeCell ref="P6:AA7"/>
    <mergeCell ref="P2:AA5"/>
    <mergeCell ref="AD2:AO5"/>
    <mergeCell ref="AD6:AO7"/>
    <mergeCell ref="AR2:BC5"/>
    <mergeCell ref="AR6:BC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8D141D-2762-4BA6-ADF7-AF5A820FD21C}">
          <x14:formula1>
            <xm:f>Vendas!$B:$B</xm:f>
          </x14:formula1>
          <xm:sqref>Q11:V12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F124E2-1910-4CF6-B55A-348D953472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Vendas</vt:lpstr>
      <vt:lpstr>Base</vt:lpstr>
      <vt:lpstr>FaturamentoAnual</vt:lpstr>
      <vt:lpstr>VendasFiltradasPorAno</vt:lpstr>
      <vt:lpstr>Base com consulta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VINICIUS DE ALMEIDA SILVA</cp:lastModifiedBy>
  <dcterms:created xsi:type="dcterms:W3CDTF">2023-03-25T14:22:56Z</dcterms:created>
  <dcterms:modified xsi:type="dcterms:W3CDTF">2026-06-20T16:43:46Z</dcterms:modified>
</cp:coreProperties>
</file>