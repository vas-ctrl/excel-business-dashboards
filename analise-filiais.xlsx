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icius\Downloads\"/>
    </mc:Choice>
  </mc:AlternateContent>
  <xr:revisionPtr revIDLastSave="0" documentId="8_{81D925A3-EE8D-485D-8EE1-AF00FDAE932D}" xr6:coauthVersionLast="47" xr6:coauthVersionMax="47" xr10:uidLastSave="{00000000-0000-0000-0000-000000000000}"/>
  <bookViews>
    <workbookView xWindow="-108" yWindow="-108" windowWidth="23256" windowHeight="12456" xr2:uid="{7B5CD34E-3F97-4B1F-A572-56070BABA499}"/>
  </bookViews>
  <sheets>
    <sheet name="Base" sheetId="2" r:id="rId1"/>
    <sheet name="Cálculos" sheetId="3" r:id="rId2"/>
    <sheet name="Dashboard Filial" sheetId="1" r:id="rId3"/>
  </sheets>
  <definedNames>
    <definedName name="DadosExternos_1" localSheetId="0" hidden="1">Base!$A$1:$M$688</definedName>
    <definedName name="SegmentaçãodeDados_Ano">#N/A</definedName>
    <definedName name="SegmentaçãodeDados_Data__Mês">#N/A</definedName>
    <definedName name="SegmentaçãodeDados_ID_Filial">#N/A</definedName>
  </definedNames>
  <calcPr calcId="191029"/>
  <pivotCaches>
    <pivotCache cacheId="577" r:id="rId4"/>
    <pivotCache cacheId="580" r:id="rId5"/>
    <pivotCache cacheId="583" r:id="rId6"/>
    <pivotCache cacheId="586" r:id="rId7"/>
    <pivotCache cacheId="589" r:id="rId8"/>
    <pivotCache cacheId="592" r:id="rId9"/>
  </pivotCaches>
  <extLst>
    <ext xmlns:x14="http://schemas.microsoft.com/office/spreadsheetml/2009/9/main" uri="{876F7934-8845-4945-9796-88D515C7AA90}">
      <x14:pivotCaches>
        <pivotCache cacheId="126" r:id="rId10"/>
      </x14:pivotCaches>
    </ext>
    <ext xmlns:x14="http://schemas.microsoft.com/office/spreadsheetml/2009/9/main" uri="{BBE1A952-AA13-448e-AADC-164F8A28A991}">
      <x14:slicerCaches>
        <x14:slicerCache r:id="rId11"/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ilial 1 e 2_63e17a81-b338-4dc4-bf9b-411bae6f4b40" name="Filial 1 e 2" connection="Consulta - Filial 1 e 2"/>
        </x15:modelTables>
        <x15:extLst>
          <ext xmlns:x16="http://schemas.microsoft.com/office/spreadsheetml/2014/11/main" uri="{9835A34E-60A6-4A7C-AAB8-D5F71C897F49}">
            <x16:modelTimeGroupings>
              <x16:modelTimeGrouping tableName="Filial 1 e 2" columnName="Data" columnId="Data">
                <x16:calculatedTimeColumn columnName="Data (Ano)" columnId="Data (Ano)" contentType="years" isSelected="1"/>
                <x16:calculatedTimeColumn columnName="Data (Trimestre)" columnId="Data (Trimestre)" contentType="quarters" isSelected="1"/>
                <x16:calculatedTimeColumn columnName="Data (Índice de Mês)" columnId="Data (Índice de Mês)" contentType="monthsindex" isSelected="1"/>
                <x16:calculatedTimeColumn columnName="Data (Mês)" columnId="Data (Mê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2" i="1" l="1"/>
  <c r="AE2" i="1"/>
  <c r="P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0AE1D0-1FCE-4F59-937F-C882F5372C83}" keepAlive="1" name="Consulta - Filial 1" description="Conexão com a consulta 'Filial 1' na pasta de trabalho." type="5" refreshedVersion="0" background="1">
    <dbPr connection="Provider=Microsoft.Mashup.OleDb.1;Data Source=$Workbook$;Location=&quot;Filial 1&quot;;Extended Properties=&quot;&quot;" command="SELECT * FROM [Filial 1]"/>
  </connection>
  <connection id="2" xr16:uid="{E1926046-2D6B-4627-8A84-704D6BC21A34}" name="Consulta - Filial 1 e 2" description="Conexão com a consulta 'Filial 1 e 2' na pasta de trabalho." type="100" refreshedVersion="8" minRefreshableVersion="5">
    <extLst>
      <ext xmlns:x15="http://schemas.microsoft.com/office/spreadsheetml/2010/11/main" uri="{DE250136-89BD-433C-8126-D09CA5730AF9}">
        <x15:connection id="154c1a62-d2ed-490a-9acd-927b3bcbcbcd"/>
      </ext>
    </extLst>
  </connection>
  <connection id="3" xr16:uid="{84DB077B-7D5E-48E8-91C5-9EDBEF29E6B9}" keepAlive="1" name="Consulta - Filial 1 e 2(1)" description="Conexão com a consulta 'Filial 1 e 2' na pasta de trabalho." type="5" refreshedVersion="0" background="1">
    <dbPr connection="Provider=Microsoft.Mashup.OleDb.1;Data Source=$Workbook$;Location=&quot;Filial 1 e 2&quot;;Extended Properties=&quot;&quot;" command="SELECT * FROM [Filial 1 e 2]"/>
  </connection>
  <connection id="4" xr16:uid="{DB58C42E-1C2A-4858-B7B0-19203432CF29}" keepAlive="1" name="Consulta - Filial 2" description="Conexão com a consulta 'Filial 2' na pasta de trabalho." type="5" refreshedVersion="0" background="1">
    <dbPr connection="Provider=Microsoft.Mashup.OleDb.1;Data Source=$Workbook$;Location=&quot;Filial 2&quot;;Extended Properties=&quot;&quot;" command="SELECT * FROM [Filial 2]"/>
  </connection>
  <connection id="5" xr16:uid="{09CB18FC-4AB0-4D7C-A4F3-07F8C0CE040B}" keepAlive="1" name="Consulta - Lista Produtos" description="Conexão com a consulta 'Lista Produtos' na pasta de trabalho." type="5" refreshedVersion="0" background="1">
    <dbPr connection="Provider=Microsoft.Mashup.OleDb.1;Data Source=$Workbook$;Location=&quot;Lista Produtos&quot;;Extended Properties=&quot;&quot;" command="SELECT * FROM [Lista Produtos]"/>
  </connection>
  <connection id="6" xr16:uid="{722ED878-861C-4F36-983B-157CB36F8A16}" keepAlive="1" name="ModelConnection_DadosExternos_1" description="Modelo de Dados" type="5" refreshedVersion="8" minRefreshableVersion="5" saveData="1">
    <dbPr connection="Data Model Connection" command="Filial 1 e 2" commandType="3"/>
    <extLst>
      <ext xmlns:x15="http://schemas.microsoft.com/office/spreadsheetml/2010/11/main" uri="{DE250136-89BD-433C-8126-D09CA5730AF9}">
        <x15:connection id="" model="1"/>
      </ext>
    </extLst>
  </connection>
  <connection id="7" xr16:uid="{A4B0E320-BFF2-48C7-9153-CB9683BFBB20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<sst xmlns="http://schemas.openxmlformats.org/spreadsheetml/2006/main" count="4176" uniqueCount="84">
  <si>
    <t>Segmentação Mês</t>
  </si>
  <si>
    <t>Faturamento Mensal</t>
  </si>
  <si>
    <t>Segmentação Filial</t>
  </si>
  <si>
    <t>Vendas por Produto</t>
  </si>
  <si>
    <t>Top 3 Produtos mais vendidos</t>
  </si>
  <si>
    <t>Segmentação Ano</t>
  </si>
  <si>
    <t>Média de Gastos</t>
  </si>
  <si>
    <t>Qtd Produtos Vendidos</t>
  </si>
  <si>
    <t>Faturamento Total</t>
  </si>
  <si>
    <t>Ano</t>
  </si>
  <si>
    <t>Data</t>
  </si>
  <si>
    <t>Mês</t>
  </si>
  <si>
    <t>Nome do Mês</t>
  </si>
  <si>
    <t>ID Produto</t>
  </si>
  <si>
    <t>Produto</t>
  </si>
  <si>
    <t>Quantidade</t>
  </si>
  <si>
    <t>Preço</t>
  </si>
  <si>
    <t>ID Filial</t>
  </si>
  <si>
    <t>Fevereiro</t>
  </si>
  <si>
    <t>Empada</t>
  </si>
  <si>
    <t>SCB_01</t>
  </si>
  <si>
    <t>Quibe</t>
  </si>
  <si>
    <t>Março</t>
  </si>
  <si>
    <t>Hamburguer</t>
  </si>
  <si>
    <t>Abril</t>
  </si>
  <si>
    <t>Café Expresso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</si>
  <si>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</si>
  <si>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</si>
  <si>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</si>
  <si>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</si>
  <si>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</si>
  <si>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</si>
  <si>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</si>
  <si>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</si>
  <si>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Janeiro</t>
  </si>
  <si>
    <t>Risoles</t>
  </si>
  <si>
    <t>SCB_02</t>
  </si>
  <si>
    <t>Água</t>
  </si>
  <si>
    <t>Café Coado</t>
  </si>
  <si>
    <t>Esfiha</t>
  </si>
  <si>
    <t>Coxinha</t>
  </si>
  <si>
    <t>Chocolate Quente</t>
  </si>
  <si>
    <t>Pão de Queijo</t>
  </si>
  <si>
    <t>Chá</t>
  </si>
  <si>
    <t>Enroladinho</t>
  </si>
  <si>
    <t>Refrigerante</t>
  </si>
  <si>
    <t>Suco de Laranja</t>
  </si>
  <si>
    <t>Capuccino</t>
  </si>
  <si>
    <t>Mini Pizza</t>
  </si>
  <si>
    <t>Chocolate Gelado</t>
  </si>
  <si>
    <t>Frappé</t>
  </si>
  <si>
    <t>Quichê</t>
  </si>
  <si>
    <t>Croissant doce</t>
  </si>
  <si>
    <t>Massa folhada doce</t>
  </si>
  <si>
    <t>Torta</t>
  </si>
  <si>
    <t>Croissant salgado</t>
  </si>
  <si>
    <t>Lanche Pão de forma</t>
  </si>
  <si>
    <t>Soma de Preço</t>
  </si>
  <si>
    <t>Soma de Quantidade</t>
  </si>
  <si>
    <t>Média de Preço</t>
  </si>
  <si>
    <t>Rótulos de Linha</t>
  </si>
  <si>
    <t>Total Geral</t>
  </si>
  <si>
    <t>Data (Ano)</t>
  </si>
  <si>
    <t>Data (Trimestre)</t>
  </si>
  <si>
    <t>Data (Índice de Mês)</t>
  </si>
  <si>
    <t>Data (Mês)</t>
  </si>
  <si>
    <t>2022</t>
  </si>
  <si>
    <t>Trim.1</t>
  </si>
  <si>
    <t>fev</t>
  </si>
  <si>
    <t>mar</t>
  </si>
  <si>
    <t>Trim.2</t>
  </si>
  <si>
    <t>abr</t>
  </si>
  <si>
    <t>mai</t>
  </si>
  <si>
    <t>jun</t>
  </si>
  <si>
    <t>Trim.3</t>
  </si>
  <si>
    <t>jul</t>
  </si>
  <si>
    <t>ago</t>
  </si>
  <si>
    <t>set</t>
  </si>
  <si>
    <t>Trim.4</t>
  </si>
  <si>
    <t>out</t>
  </si>
  <si>
    <t>nov</t>
  </si>
  <si>
    <t>dez</t>
  </si>
  <si>
    <t>jan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</si>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</sst>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8" x14ac:knownFonts="1">
    <font>
      <sz val="11"/>
      <color theme="1"/>
      <name val="Calibri"/>
      <family val="2"/>
      <scheme val="minor"/>
    </font>
    <font>
      <b/>
      <sz val="16"/>
      <color theme="0"/>
      <name val="Barlow"/>
    </font>
    <font>
      <b/>
      <sz val="14"/>
      <color theme="0"/>
      <name val="Barlow"/>
    </font>
    <font>
      <b/>
      <sz val="14"/>
      <color rgb="FF313829"/>
      <name val="Barlow"/>
    </font>
    <font>
      <b/>
      <sz val="11"/>
      <color rgb="FF313829"/>
      <name val="Barlow"/>
    </font>
    <font>
      <b/>
      <sz val="26"/>
      <color rgb="FFB39563"/>
      <name val="Barlow"/>
    </font>
    <font>
      <b/>
      <sz val="24"/>
      <color rgb="FFB39563"/>
      <name val="Barlow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1382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 style="thick">
        <color rgb="FF787674"/>
      </right>
      <top/>
      <bottom style="thick">
        <color rgb="FF787674"/>
      </bottom>
      <diagonal/>
    </border>
    <border>
      <left/>
      <right/>
      <top/>
      <bottom style="thick">
        <color rgb="FF787674"/>
      </bottom>
      <diagonal/>
    </border>
    <border>
      <left style="thick">
        <color rgb="FF787674"/>
      </left>
      <right/>
      <top/>
      <bottom style="thick">
        <color rgb="FF787674"/>
      </bottom>
      <diagonal/>
    </border>
    <border>
      <left/>
      <right style="thick">
        <color rgb="FF787674"/>
      </right>
      <top/>
      <bottom/>
      <diagonal/>
    </border>
    <border>
      <left style="thick">
        <color rgb="FF787674"/>
      </left>
      <right/>
      <top/>
      <bottom/>
      <diagonal/>
    </border>
    <border>
      <left/>
      <right style="thick">
        <color rgb="FF787674"/>
      </right>
      <top style="thick">
        <color rgb="FF787674"/>
      </top>
      <bottom/>
      <diagonal/>
    </border>
    <border>
      <left/>
      <right/>
      <top style="thick">
        <color rgb="FF787674"/>
      </top>
      <bottom/>
      <diagonal/>
    </border>
    <border>
      <left style="thick">
        <color rgb="FF787674"/>
      </left>
      <right/>
      <top style="thick">
        <color rgb="FF78767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0" xfId="0" applyFont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0" xfId="0" applyFont="1" applyAlignment="1">
      <alignment vertical="center"/>
    </xf>
    <xf numFmtId="164" fontId="6" fillId="3" borderId="8" xfId="0" applyNumberFormat="1" applyFont="1" applyFill="1" applyBorder="1" applyAlignment="1">
      <alignment horizontal="center" vertical="center"/>
    </xf>
    <xf numFmtId="164" fontId="6" fillId="3" borderId="7" xfId="0" applyNumberFormat="1" applyFont="1" applyFill="1" applyBorder="1" applyAlignment="1">
      <alignment horizontal="center" vertical="center"/>
    </xf>
    <xf numFmtId="164" fontId="6" fillId="3" borderId="6" xfId="0" applyNumberFormat="1" applyFont="1" applyFill="1" applyBorder="1" applyAlignment="1">
      <alignment horizontal="center" vertical="center"/>
    </xf>
    <xf numFmtId="164" fontId="6" fillId="3" borderId="5" xfId="0" applyNumberFormat="1" applyFont="1" applyFill="1" applyBorder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164" fontId="6" fillId="3" borderId="4" xfId="0" applyNumberFormat="1" applyFont="1" applyFill="1" applyBorder="1" applyAlignment="1">
      <alignment horizontal="center" vertical="center"/>
    </xf>
    <xf numFmtId="3" fontId="5" fillId="3" borderId="8" xfId="0" applyNumberFormat="1" applyFont="1" applyFill="1" applyBorder="1" applyAlignment="1">
      <alignment horizontal="center" vertical="center"/>
    </xf>
    <xf numFmtId="3" fontId="5" fillId="3" borderId="7" xfId="0" applyNumberFormat="1" applyFont="1" applyFill="1" applyBorder="1" applyAlignment="1">
      <alignment horizontal="center" vertical="center"/>
    </xf>
    <xf numFmtId="3" fontId="5" fillId="3" borderId="6" xfId="0" applyNumberFormat="1" applyFont="1" applyFill="1" applyBorder="1" applyAlignment="1">
      <alignment horizontal="center" vertical="center"/>
    </xf>
    <xf numFmtId="3" fontId="5" fillId="3" borderId="5" xfId="0" applyNumberFormat="1" applyFont="1" applyFill="1" applyBorder="1" applyAlignment="1">
      <alignment horizontal="center" vertical="center"/>
    </xf>
    <xf numFmtId="3" fontId="5" fillId="3" borderId="0" xfId="0" applyNumberFormat="1" applyFont="1" applyFill="1" applyAlignment="1">
      <alignment horizontal="center" vertical="center"/>
    </xf>
    <xf numFmtId="3" fontId="5" fillId="3" borderId="4" xfId="0" applyNumberFormat="1" applyFont="1" applyFill="1" applyBorder="1" applyAlignment="1">
      <alignment horizontal="center" vertical="center"/>
    </xf>
    <xf numFmtId="164" fontId="5" fillId="3" borderId="8" xfId="0" applyNumberFormat="1" applyFont="1" applyFill="1" applyBorder="1" applyAlignment="1">
      <alignment horizontal="center" vertical="center"/>
    </xf>
    <xf numFmtId="164" fontId="5" fillId="3" borderId="7" xfId="0" applyNumberFormat="1" applyFont="1" applyFill="1" applyBorder="1" applyAlignment="1">
      <alignment horizontal="center" vertical="center"/>
    </xf>
    <xf numFmtId="164" fontId="5" fillId="3" borderId="6" xfId="0" applyNumberFormat="1" applyFont="1" applyFill="1" applyBorder="1" applyAlignment="1">
      <alignment horizontal="center" vertical="center"/>
    </xf>
    <xf numFmtId="164" fontId="5" fillId="3" borderId="5" xfId="0" applyNumberFormat="1" applyFont="1" applyFill="1" applyBorder="1" applyAlignment="1">
      <alignment horizontal="center" vertical="center"/>
    </xf>
    <xf numFmtId="164" fontId="5" fillId="3" borderId="0" xfId="0" applyNumberFormat="1" applyFont="1" applyFill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top"/>
    </xf>
    <xf numFmtId="0" fontId="2" fillId="2" borderId="7" xfId="0" applyFont="1" applyFill="1" applyBorder="1" applyAlignment="1">
      <alignment horizontal="center" vertical="top"/>
    </xf>
    <xf numFmtId="0" fontId="2" fillId="2" borderId="6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2" borderId="5" xfId="0" applyFont="1" applyFill="1" applyBorder="1" applyAlignment="1">
      <alignment horizontal="center" vertical="top"/>
    </xf>
    <xf numFmtId="0" fontId="2" fillId="2" borderId="0" xfId="0" applyFont="1" applyFill="1" applyAlignment="1">
      <alignment horizontal="center" vertical="top"/>
    </xf>
    <xf numFmtId="0" fontId="2" fillId="2" borderId="4" xfId="0" applyFont="1" applyFill="1" applyBorder="1" applyAlignment="1">
      <alignment horizontal="center" vertical="top"/>
    </xf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</cellXfs>
  <cellStyles count="1">
    <cellStyle name="Normal" xfId="0" builtinId="0"/>
  </cellStyles>
  <dxfs count="6">
    <dxf>
      <font>
        <b/>
        <color theme="1"/>
      </font>
      <fill>
        <patternFill>
          <bgColor rgb="FF313829"/>
        </patternFill>
      </fill>
      <border>
        <bottom style="thin">
          <color theme="4"/>
        </bottom>
        <vertical/>
        <horizontal/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1" defaultTableStyle="TableStyleMedium2" defaultPivotStyle="PivotStyleLight16">
    <tableStyle name="SlicerStyleLight1 2" pivot="0" table="0" count="10" xr9:uid="{E3D972AB-87F8-45FD-84D7-9C5204BF6637}">
      <tableStyleElement type="wholeTable" dxfId="1"/>
      <tableStyleElement type="headerRow" dxfId="0"/>
    </tableStyle>
  </tableStyles>
  <colors>
    <mruColors>
      <color rgb="FFB39563"/>
      <color rgb="FF313829"/>
    </mruColors>
  </colors>
  <extLst>
    <ext xmlns:x14="http://schemas.microsoft.com/office/spreadsheetml/2009/9/main" uri="{46F421CA-312F-682f-3DD2-61675219B42D}">
      <x14:dxfs count="2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5117038483843"/>
              <bgColor rgb="FFB39563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rgb="FFB39563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/>
        <dxf/>
        <dxf/>
        <dxf/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microsoft.com/office/2007/relationships/slicerCache" Target="slicerCaches/slicerCache3.xml"/><Relationship Id="rId1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microsoft.com/office/2007/relationships/slicerCache" Target="slicerCaches/slicerCache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microsoft.com/office/2007/relationships/slicerCache" Target="slicerCaches/slicerCache1.xml"/><Relationship Id="rId5" Type="http://schemas.openxmlformats.org/officeDocument/2006/relationships/pivotCacheDefinition" Target="pivotCache/pivotCacheDefinition2.xml"/><Relationship Id="rId15" Type="http://schemas.openxmlformats.org/officeDocument/2006/relationships/connections" Target="connections.xml"/><Relationship Id="rId10" Type="http://schemas.openxmlformats.org/officeDocument/2006/relationships/pivotCacheDefinition" Target="pivotCache/pivotCacheDefinition7.xml"/><Relationship Id="rId19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Filial Serenatto Café e Bistrô.xlsx]Cálculos!Tabela dinâmica4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B39563"/>
            </a:solidFill>
            <a:round/>
          </a:ln>
          <a:effectLst/>
        </c:spPr>
        <c:marker>
          <c:symbol val="circle"/>
          <c:size val="5"/>
          <c:spPr>
            <a:solidFill>
              <a:srgbClr val="B39563"/>
            </a:solidFill>
            <a:ln w="9525">
              <a:solidFill>
                <a:srgbClr val="B39563"/>
              </a:solidFill>
            </a:ln>
            <a:effectLst/>
          </c:spPr>
        </c:marker>
        <c:dLbl>
          <c:idx val="0"/>
          <c:numFmt formatCode="&quot;R$&quot;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B39563"/>
            </a:solidFill>
            <a:round/>
          </a:ln>
          <a:effectLst/>
        </c:spPr>
        <c:marker>
          <c:symbol val="circle"/>
          <c:size val="5"/>
          <c:spPr>
            <a:solidFill>
              <a:srgbClr val="B39563"/>
            </a:solidFill>
            <a:ln w="9525">
              <a:solidFill>
                <a:srgbClr val="B39563"/>
              </a:solidFill>
            </a:ln>
            <a:effectLst/>
          </c:spPr>
        </c:marker>
        <c:dLbl>
          <c:idx val="0"/>
          <c:layout>
            <c:manualLayout>
              <c:x val="-5.6574246227926624E-2"/>
              <c:y val="-7.6311551693488508E-2"/>
            </c:manualLayout>
          </c:layout>
          <c:numFmt formatCode="&quot;R$&quot;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Cálculos!$B$4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B3956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B39563"/>
              </a:solidFill>
              <a:ln w="9525">
                <a:solidFill>
                  <a:srgbClr val="B39563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5.6574246227926624E-2"/>
                  <c:y val="-7.63115516934885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8F3-4F43-8C5A-314336CD8726}"/>
                </c:ext>
              </c:extLst>
            </c:dLbl>
            <c:numFmt formatCode="&quot;R$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Cálculos!$A$5:$A$17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Cálculos!$B$5:$B$17</c:f>
              <c:numCache>
                <c:formatCode>_("R$"* #,##0.00_);_("R$"* \(#,##0.00\);_("R$"* "-"??_);_(@_)</c:formatCode>
                <c:ptCount val="12"/>
                <c:pt idx="0">
                  <c:v>4368.5</c:v>
                </c:pt>
                <c:pt idx="1">
                  <c:v>3818.5</c:v>
                </c:pt>
                <c:pt idx="2">
                  <c:v>3941</c:v>
                </c:pt>
                <c:pt idx="3">
                  <c:v>1190</c:v>
                </c:pt>
                <c:pt idx="4">
                  <c:v>1756</c:v>
                </c:pt>
                <c:pt idx="5">
                  <c:v>1892.5</c:v>
                </c:pt>
                <c:pt idx="6">
                  <c:v>1582.5</c:v>
                </c:pt>
                <c:pt idx="7">
                  <c:v>1781</c:v>
                </c:pt>
                <c:pt idx="8">
                  <c:v>1242</c:v>
                </c:pt>
                <c:pt idx="9">
                  <c:v>1566.5</c:v>
                </c:pt>
                <c:pt idx="10">
                  <c:v>1446.5</c:v>
                </c:pt>
                <c:pt idx="11">
                  <c:v>1898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F3-4F43-8C5A-314336CD872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60323823"/>
        <c:axId val="1160326223"/>
      </c:lineChart>
      <c:catAx>
        <c:axId val="116032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60326223"/>
        <c:crosses val="autoZero"/>
        <c:auto val="1"/>
        <c:lblAlgn val="ctr"/>
        <c:lblOffset val="100"/>
        <c:noMultiLvlLbl val="0"/>
      </c:catAx>
      <c:valAx>
        <c:axId val="11603262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160323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Filial Serenatto Café e Bistrô.xlsx]Cálculos!Tabela dinâmica6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B39563"/>
          </a:solidFill>
          <a:ln>
            <a:solidFill>
              <a:srgbClr val="B39563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Cálculos!$F$9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B39563"/>
            </a:solidFill>
            <a:ln>
              <a:solidFill>
                <a:srgbClr val="B39563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Cálculos!$E$10:$E$13</c:f>
              <c:strCache>
                <c:ptCount val="3"/>
                <c:pt idx="0">
                  <c:v>Água</c:v>
                </c:pt>
                <c:pt idx="1">
                  <c:v>Café Coado</c:v>
                </c:pt>
                <c:pt idx="2">
                  <c:v>Café Expresso</c:v>
                </c:pt>
              </c:strCache>
            </c:strRef>
          </c:cat>
          <c:val>
            <c:numRef>
              <c:f>Cálculos!$F$10:$F$13</c:f>
              <c:numCache>
                <c:formatCode>General</c:formatCode>
                <c:ptCount val="3"/>
                <c:pt idx="0">
                  <c:v>299</c:v>
                </c:pt>
                <c:pt idx="1">
                  <c:v>393</c:v>
                </c:pt>
                <c:pt idx="2">
                  <c:v>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1A-45A7-AD54-A8492A28D84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67873759"/>
        <c:axId val="1667870879"/>
      </c:barChart>
      <c:catAx>
        <c:axId val="1667873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67870879"/>
        <c:crosses val="autoZero"/>
        <c:auto val="1"/>
        <c:lblAlgn val="ctr"/>
        <c:lblOffset val="100"/>
        <c:noMultiLvlLbl val="0"/>
      </c:catAx>
      <c:valAx>
        <c:axId val="166787087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67873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Filial Serenatto Café e Bistrô.xlsx]Cálculos!Tabela dinâmica5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B39563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R$&quot;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Cálculos!$F$1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B39563"/>
            </a:solidFill>
            <a:ln>
              <a:noFill/>
            </a:ln>
            <a:effectLst/>
          </c:spPr>
          <c:invertIfNegative val="0"/>
          <c:dLbls>
            <c:numFmt formatCode="&quot;R$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Cálculos!$E$2:$E$7</c:f>
              <c:strCache>
                <c:ptCount val="5"/>
                <c:pt idx="0">
                  <c:v>Café Expresso</c:v>
                </c:pt>
                <c:pt idx="1">
                  <c:v>Café Coado</c:v>
                </c:pt>
                <c:pt idx="2">
                  <c:v>Hamburguer</c:v>
                </c:pt>
                <c:pt idx="3">
                  <c:v>Suco de Laranja</c:v>
                </c:pt>
                <c:pt idx="4">
                  <c:v>Frappé</c:v>
                </c:pt>
              </c:strCache>
            </c:strRef>
          </c:cat>
          <c:val>
            <c:numRef>
              <c:f>Cálculos!$F$2:$F$7</c:f>
              <c:numCache>
                <c:formatCode>_("R$"* #,##0.00_);_("R$"* \(#,##0.00\);_("R$"* "-"??_);_(@_)</c:formatCode>
                <c:ptCount val="5"/>
                <c:pt idx="0">
                  <c:v>4528</c:v>
                </c:pt>
                <c:pt idx="1">
                  <c:v>2358</c:v>
                </c:pt>
                <c:pt idx="2">
                  <c:v>2001</c:v>
                </c:pt>
                <c:pt idx="3">
                  <c:v>1890</c:v>
                </c:pt>
                <c:pt idx="4">
                  <c:v>1887.5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1F-491A-AC63-401595175AC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69027007"/>
        <c:axId val="1669025567"/>
      </c:barChart>
      <c:catAx>
        <c:axId val="1669027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69025567"/>
        <c:crosses val="autoZero"/>
        <c:auto val="1"/>
        <c:lblAlgn val="ctr"/>
        <c:lblOffset val="100"/>
        <c:noMultiLvlLbl val="0"/>
      </c:catAx>
      <c:valAx>
        <c:axId val="1669025567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669027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53340</xdr:colOff>
      <xdr:row>0</xdr:row>
      <xdr:rowOff>91440</xdr:rowOff>
    </xdr:from>
    <xdr:ext cx="2223072" cy="569333"/>
    <xdr:pic>
      <xdr:nvPicPr>
        <xdr:cNvPr id="2" name="Imagem 1">
          <a:extLst>
            <a:ext uri="{FF2B5EF4-FFF2-40B4-BE49-F238E27FC236}">
              <a16:creationId xmlns:a16="http://schemas.microsoft.com/office/drawing/2014/main" id="{5E33E4EE-93A7-4413-B18E-33D70F28B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95250"/>
          <a:ext cx="2223072" cy="569333"/>
        </a:xfrm>
        <a:prstGeom prst="rect">
          <a:avLst/>
        </a:prstGeom>
      </xdr:spPr>
    </xdr:pic>
    <xdr:clientData/>
  </xdr:oneCellAnchor>
  <xdr:twoCellAnchor>
    <xdr:from>
      <xdr:col>14</xdr:col>
      <xdr:colOff>30480</xdr:colOff>
      <xdr:row>24</xdr:row>
      <xdr:rowOff>15240</xdr:rowOff>
    </xdr:from>
    <xdr:to>
      <xdr:col>57</xdr:col>
      <xdr:colOff>152400</xdr:colOff>
      <xdr:row>40</xdr:row>
      <xdr:rowOff>99060</xdr:rowOff>
    </xdr:to>
    <xdr:graphicFrame macro="">
      <xdr:nvGraphicFramePr>
        <xdr:cNvPr id="3" name="Gráfico 1">
          <a:extLst>
            <a:ext uri="{FF2B5EF4-FFF2-40B4-BE49-F238E27FC236}">
              <a16:creationId xmlns:a16="http://schemas.microsoft.com/office/drawing/2014/main" id="{92E0806D-C0BE-8DA1-1A13-4BB7B6DC4E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15240</xdr:colOff>
      <xdr:row>10</xdr:row>
      <xdr:rowOff>0</xdr:rowOff>
    </xdr:from>
    <xdr:to>
      <xdr:col>33</xdr:col>
      <xdr:colOff>129540</xdr:colOff>
      <xdr:row>20</xdr:row>
      <xdr:rowOff>83820</xdr:rowOff>
    </xdr:to>
    <xdr:graphicFrame macro="">
      <xdr:nvGraphicFramePr>
        <xdr:cNvPr id="4" name="Gráfico 2">
          <a:extLst>
            <a:ext uri="{FF2B5EF4-FFF2-40B4-BE49-F238E27FC236}">
              <a16:creationId xmlns:a16="http://schemas.microsoft.com/office/drawing/2014/main" id="{D13113B1-6A31-451E-EB40-AE8E74401C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35</xdr:col>
      <xdr:colOff>15240</xdr:colOff>
      <xdr:row>10</xdr:row>
      <xdr:rowOff>22860</xdr:rowOff>
    </xdr:from>
    <xdr:to>
      <xdr:col>57</xdr:col>
      <xdr:colOff>137160</xdr:colOff>
      <xdr:row>20</xdr:row>
      <xdr:rowOff>106680</xdr:rowOff>
    </xdr:to>
    <xdr:graphicFrame macro="">
      <xdr:nvGraphicFramePr>
        <xdr:cNvPr id="5" name="Gráfico 3">
          <a:extLst>
            <a:ext uri="{FF2B5EF4-FFF2-40B4-BE49-F238E27FC236}">
              <a16:creationId xmlns:a16="http://schemas.microsoft.com/office/drawing/2014/main" id="{3CE60E0F-5BC6-77D7-6331-12F92CD165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22860</xdr:colOff>
      <xdr:row>10</xdr:row>
      <xdr:rowOff>15241</xdr:rowOff>
    </xdr:from>
    <xdr:to>
      <xdr:col>12</xdr:col>
      <xdr:colOff>137160</xdr:colOff>
      <xdr:row>13</xdr:row>
      <xdr:rowOff>99061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Ano">
              <a:extLst>
                <a:ext uri="{FF2B5EF4-FFF2-40B4-BE49-F238E27FC236}">
                  <a16:creationId xmlns:a16="http://schemas.microsoft.com/office/drawing/2014/main" id="{BCC4A407-9CA1-3858-2DA5-493859A5CAC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2880" y="1158241"/>
              <a:ext cx="1874520" cy="4267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22860</xdr:colOff>
      <xdr:row>18</xdr:row>
      <xdr:rowOff>15241</xdr:rowOff>
    </xdr:from>
    <xdr:to>
      <xdr:col>12</xdr:col>
      <xdr:colOff>144780</xdr:colOff>
      <xdr:row>21</xdr:row>
      <xdr:rowOff>91441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ID Filial">
              <a:extLst>
                <a:ext uri="{FF2B5EF4-FFF2-40B4-BE49-F238E27FC236}">
                  <a16:creationId xmlns:a16="http://schemas.microsoft.com/office/drawing/2014/main" id="{1FDEB874-B3BB-85FC-C641-480AAA5EC06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D Filial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2880" y="2072641"/>
              <a:ext cx="1882140" cy="419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22860</xdr:colOff>
      <xdr:row>25</xdr:row>
      <xdr:rowOff>30480</xdr:rowOff>
    </xdr:from>
    <xdr:to>
      <xdr:col>12</xdr:col>
      <xdr:colOff>152400</xdr:colOff>
      <xdr:row>40</xdr:row>
      <xdr:rowOff>106680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Data (Mês)">
              <a:extLst>
                <a:ext uri="{FF2B5EF4-FFF2-40B4-BE49-F238E27FC236}">
                  <a16:creationId xmlns:a16="http://schemas.microsoft.com/office/drawing/2014/main" id="{A1C1B6DB-1FD3-B573-D773-67137A56D31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a (Mês)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2880" y="2887980"/>
              <a:ext cx="1889760" cy="1790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nicius" refreshedDate="46201.99224363426" backgroundQuery="1" createdVersion="8" refreshedVersion="8" minRefreshableVersion="3" recordCount="0" supportSubquery="1" supportAdvancedDrill="1" xr:uid="{94CBA70B-2130-43A8-87C9-598913983C21}">
  <cacheSource type="external" connectionId="7"/>
  <cacheFields count="3">
    <cacheField name="[Filial 1 e 2].[Data (Mês)].[Data (Mês)]" caption="Data (Mês)" numFmtId="0" hierarchy="11" level="1">
      <sharedItems count="12">
        <s v="jan"/>
        <s v="fev"/>
        <s v="mar"/>
        <s v="abr"/>
        <s v="mai"/>
        <s v="jun"/>
        <s v="jul"/>
        <s v="ago"/>
        <s v="set"/>
        <s v="out"/>
        <s v="nov"/>
        <s v="dez"/>
      </sharedItems>
    </cacheField>
    <cacheField name="[Measures].[Soma de Preço]" caption="Soma de Preço" numFmtId="0" hierarchy="15" level="32767"/>
    <cacheField name="[Filial 1 e 2].[Ano].[Ano]" caption="Ano" numFmtId="0" level="1">
      <sharedItems containsSemiMixedTypes="0" containsNonDate="0" containsString="0"/>
    </cacheField>
  </cacheFields>
  <cacheHierarchies count="18">
    <cacheHierarchy uniqueName="[Filial 1 e 2].[Ano]" caption="Ano" attribute="1" defaultMemberUniqueName="[Filial 1 e 2].[Ano].[All]" allUniqueName="[Filial 1 e 2].[Ano].[All]" dimensionUniqueName="[Filial 1 e 2]" displayFolder="" count="2" memberValueDatatype="20" unbalanced="0">
      <fieldsUsage count="2">
        <fieldUsage x="-1"/>
        <fieldUsage x="2"/>
      </fieldsUsage>
    </cacheHierarchy>
    <cacheHierarchy uniqueName="[Filial 1 e 2].[Data]" caption="Data" attribute="1" time="1" defaultMemberUniqueName="[Filial 1 e 2].[Data].[All]" allUniqueName="[Filial 1 e 2].[Data].[All]" dimensionUniqueName="[Filial 1 e 2]" displayFolder="" count="2" memberValueDatatype="7" unbalanced="0"/>
    <cacheHierarchy uniqueName="[Filial 1 e 2].[Mês]" caption="Mês" attribute="1" defaultMemberUniqueName="[Filial 1 e 2].[Mês].[All]" allUniqueName="[Filial 1 e 2].[Mês].[All]" dimensionUniqueName="[Filial 1 e 2]" displayFolder="" count="2" memberValueDatatype="20" unbalanced="0"/>
    <cacheHierarchy uniqueName="[Filial 1 e 2].[Nome do Mês]" caption="Nome do Mês" attribute="1" defaultMemberUniqueName="[Filial 1 e 2].[Nome do Mês].[All]" allUniqueName="[Filial 1 e 2].[Nome do Mês].[All]" dimensionUniqueName="[Filial 1 e 2]" displayFolder="" count="2" memberValueDatatype="130" unbalanced="0"/>
    <cacheHierarchy uniqueName="[Filial 1 e 2].[ID Produto]" caption="ID Produto" attribute="1" defaultMemberUniqueName="[Filial 1 e 2].[ID Produto].[All]" allUniqueName="[Filial 1 e 2].[ID Produto].[All]" dimensionUniqueName="[Filial 1 e 2]" displayFolder="" count="2" memberValueDatatype="20" unbalanced="0"/>
    <cacheHierarchy uniqueName="[Filial 1 e 2].[Produto]" caption="Produto" attribute="1" defaultMemberUniqueName="[Filial 1 e 2].[Produto].[All]" allUniqueName="[Filial 1 e 2].[Produto].[All]" dimensionUniqueName="[Filial 1 e 2]" displayFolder="" count="2" memberValueDatatype="130" unbalanced="0"/>
    <cacheHierarchy uniqueName="[Filial 1 e 2].[Quantidade]" caption="Quantidade" attribute="1" defaultMemberUniqueName="[Filial 1 e 2].[Quantidade].[All]" allUniqueName="[Filial 1 e 2].[Quantidade].[All]" dimensionUniqueName="[Filial 1 e 2]" displayFolder="" count="2" memberValueDatatype="20" unbalanced="0"/>
    <cacheHierarchy uniqueName="[Filial 1 e 2].[Preço]" caption="Preço" attribute="1" defaultMemberUniqueName="[Filial 1 e 2].[Preço].[All]" allUniqueName="[Filial 1 e 2].[Preço].[All]" dimensionUniqueName="[Filial 1 e 2]" displayFolder="" count="2" memberValueDatatype="5" unbalanced="0"/>
    <cacheHierarchy uniqueName="[Filial 1 e 2].[ID Filial]" caption="ID Filial" attribute="1" defaultMemberUniqueName="[Filial 1 e 2].[ID Filial].[All]" allUniqueName="[Filial 1 e 2].[ID Filial].[All]" dimensionUniqueName="[Filial 1 e 2]" displayFolder="" count="2" memberValueDatatype="130" unbalanced="0"/>
    <cacheHierarchy uniqueName="[Filial 1 e 2].[Data (Ano)]" caption="Data (Ano)" attribute="1" defaultMemberUniqueName="[Filial 1 e 2].[Data (Ano)].[All]" allUniqueName="[Filial 1 e 2].[Data (Ano)].[All]" dimensionUniqueName="[Filial 1 e 2]" displayFolder="" count="2" memberValueDatatype="130" unbalanced="0"/>
    <cacheHierarchy uniqueName="[Filial 1 e 2].[Data (Trimestre)]" caption="Data (Trimestre)" attribute="1" defaultMemberUniqueName="[Filial 1 e 2].[Data (Trimestre)].[All]" allUniqueName="[Filial 1 e 2].[Data (Trimestre)].[All]" dimensionUniqueName="[Filial 1 e 2]" displayFolder="" count="2" memberValueDatatype="130" unbalanced="0"/>
    <cacheHierarchy uniqueName="[Filial 1 e 2].[Data (Mês)]" caption="Data (Mês)" attribute="1" defaultMemberUniqueName="[Filial 1 e 2].[Data (Mês)].[All]" allUniqueName="[Filial 1 e 2].[Data (Mês)].[All]" dimensionUniqueName="[Filial 1 e 2]" displayFolder="" count="2" memberValueDatatype="130" unbalanced="0">
      <fieldsUsage count="2">
        <fieldUsage x="-1"/>
        <fieldUsage x="0"/>
      </fieldsUsage>
    </cacheHierarchy>
    <cacheHierarchy uniqueName="[Filial 1 e 2].[Data (Índice de Mês)]" caption="Data (Índice de Mês)" attribute="1" defaultMemberUniqueName="[Filial 1 e 2].[Data (Índice de Mês)].[All]" allUniqueName="[Filial 1 e 2].[Data (Índice de Mês)].[All]" dimensionUniqueName="[Filial 1 e 2]" displayFolder="" count="2" memberValueDatatype="20" unbalanced="0" hidden="1"/>
    <cacheHierarchy uniqueName="[Measures].[__XL_Count Filial 1 e 2]" caption="__XL_Count Filial 1 e 2" measure="1" displayFolder="" measureGroup="Filial 1 e 2" count="0" hidden="1"/>
    <cacheHierarchy uniqueName="[Measures].[__No measures defined]" caption="__No measures defined" measure="1" displayFolder="" count="0" hidden="1"/>
    <cacheHierarchy uniqueName="[Measures].[Soma de Preço]" caption="Soma de Preço" measure="1" displayFolder="" measureGroup="Filial 1 e 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Quantidade]" caption="Soma de Quantidade" measure="1" displayFolder="" measureGroup="Filial 1 e 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édia de Preço]" caption="Média de Preço" measure="1" displayFolder="" measureGroup="Filial 1 e 2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name="Filial 1 e 2" uniqueName="[Filial 1 e 2]" caption="Filial 1 e 2"/>
    <dimension measure="1" name="Measures" uniqueName="[Measures]" caption="Measures"/>
  </dimensions>
  <measureGroups count="1">
    <measureGroup name="Filial 1 e 2" caption="Filial 1 e 2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nicius" refreshedDate="46201.992243865738" backgroundQuery="1" createdVersion="8" refreshedVersion="8" minRefreshableVersion="3" recordCount="0" supportSubquery="1" supportAdvancedDrill="1" xr:uid="{0091B821-5AFD-48A4-8BFF-2A776350F6F2}">
  <cacheSource type="external" connectionId="7"/>
  <cacheFields count="2">
    <cacheField name="[Measures].[Soma de Preço]" caption="Soma de Preço" numFmtId="0" hierarchy="15" level="32767"/>
    <cacheField name="[Filial 1 e 2].[Ano].[Ano]" caption="Ano" numFmtId="0" level="1">
      <sharedItems containsSemiMixedTypes="0" containsNonDate="0" containsString="0"/>
    </cacheField>
  </cacheFields>
  <cacheHierarchies count="18">
    <cacheHierarchy uniqueName="[Filial 1 e 2].[Ano]" caption="Ano" attribute="1" defaultMemberUniqueName="[Filial 1 e 2].[Ano].[All]" allUniqueName="[Filial 1 e 2].[Ano].[All]" dimensionUniqueName="[Filial 1 e 2]" displayFolder="" count="2" memberValueDatatype="20" unbalanced="0">
      <fieldsUsage count="2">
        <fieldUsage x="-1"/>
        <fieldUsage x="1"/>
      </fieldsUsage>
    </cacheHierarchy>
    <cacheHierarchy uniqueName="[Filial 1 e 2].[Data]" caption="Data" attribute="1" time="1" defaultMemberUniqueName="[Filial 1 e 2].[Data].[All]" allUniqueName="[Filial 1 e 2].[Data].[All]" dimensionUniqueName="[Filial 1 e 2]" displayFolder="" count="0" memberValueDatatype="7" unbalanced="0"/>
    <cacheHierarchy uniqueName="[Filial 1 e 2].[Mês]" caption="Mês" attribute="1" defaultMemberUniqueName="[Filial 1 e 2].[Mês].[All]" allUniqueName="[Filial 1 e 2].[Mês].[All]" dimensionUniqueName="[Filial 1 e 2]" displayFolder="" count="0" memberValueDatatype="20" unbalanced="0"/>
    <cacheHierarchy uniqueName="[Filial 1 e 2].[Nome do Mês]" caption="Nome do Mês" attribute="1" defaultMemberUniqueName="[Filial 1 e 2].[Nome do Mês].[All]" allUniqueName="[Filial 1 e 2].[Nome do Mês].[All]" dimensionUniqueName="[Filial 1 e 2]" displayFolder="" count="0" memberValueDatatype="130" unbalanced="0"/>
    <cacheHierarchy uniqueName="[Filial 1 e 2].[ID Produto]" caption="ID Produto" attribute="1" defaultMemberUniqueName="[Filial 1 e 2].[ID Produto].[All]" allUniqueName="[Filial 1 e 2].[ID Produto].[All]" dimensionUniqueName="[Filial 1 e 2]" displayFolder="" count="0" memberValueDatatype="20" unbalanced="0"/>
    <cacheHierarchy uniqueName="[Filial 1 e 2].[Produto]" caption="Produto" attribute="1" defaultMemberUniqueName="[Filial 1 e 2].[Produto].[All]" allUniqueName="[Filial 1 e 2].[Produto].[All]" dimensionUniqueName="[Filial 1 e 2]" displayFolder="" count="0" memberValueDatatype="130" unbalanced="0"/>
    <cacheHierarchy uniqueName="[Filial 1 e 2].[Quantidade]" caption="Quantidade" attribute="1" defaultMemberUniqueName="[Filial 1 e 2].[Quantidade].[All]" allUniqueName="[Filial 1 e 2].[Quantidade].[All]" dimensionUniqueName="[Filial 1 e 2]" displayFolder="" count="0" memberValueDatatype="20" unbalanced="0"/>
    <cacheHierarchy uniqueName="[Filial 1 e 2].[Preço]" caption="Preço" attribute="1" defaultMemberUniqueName="[Filial 1 e 2].[Preço].[All]" allUniqueName="[Filial 1 e 2].[Preço].[All]" dimensionUniqueName="[Filial 1 e 2]" displayFolder="" count="0" memberValueDatatype="5" unbalanced="0"/>
    <cacheHierarchy uniqueName="[Filial 1 e 2].[ID Filial]" caption="ID Filial" attribute="1" defaultMemberUniqueName="[Filial 1 e 2].[ID Filial].[All]" allUniqueName="[Filial 1 e 2].[ID Filial].[All]" dimensionUniqueName="[Filial 1 e 2]" displayFolder="" count="2" memberValueDatatype="130" unbalanced="0"/>
    <cacheHierarchy uniqueName="[Filial 1 e 2].[Data (Ano)]" caption="Data (Ano)" attribute="1" defaultMemberUniqueName="[Filial 1 e 2].[Data (Ano)].[All]" allUniqueName="[Filial 1 e 2].[Data (Ano)].[All]" dimensionUniqueName="[Filial 1 e 2]" displayFolder="" count="0" memberValueDatatype="130" unbalanced="0"/>
    <cacheHierarchy uniqueName="[Filial 1 e 2].[Data (Trimestre)]" caption="Data (Trimestre)" attribute="1" defaultMemberUniqueName="[Filial 1 e 2].[Data (Trimestre)].[All]" allUniqueName="[Filial 1 e 2].[Data (Trimestre)].[All]" dimensionUniqueName="[Filial 1 e 2]" displayFolder="" count="0" memberValueDatatype="130" unbalanced="0"/>
    <cacheHierarchy uniqueName="[Filial 1 e 2].[Data (Mês)]" caption="Data (Mês)" attribute="1" defaultMemberUniqueName="[Filial 1 e 2].[Data (Mês)].[All]" allUniqueName="[Filial 1 e 2].[Data (Mês)].[All]" dimensionUniqueName="[Filial 1 e 2]" displayFolder="" count="2" memberValueDatatype="130" unbalanced="0"/>
    <cacheHierarchy uniqueName="[Filial 1 e 2].[Data (Índice de Mês)]" caption="Data (Índice de Mês)" attribute="1" defaultMemberUniqueName="[Filial 1 e 2].[Data (Índice de Mês)].[All]" allUniqueName="[Filial 1 e 2].[Data (Índice de Mês)].[All]" dimensionUniqueName="[Filial 1 e 2]" displayFolder="" count="0" memberValueDatatype="20" unbalanced="0" hidden="1"/>
    <cacheHierarchy uniqueName="[Measures].[__XL_Count Filial 1 e 2]" caption="__XL_Count Filial 1 e 2" measure="1" displayFolder="" measureGroup="Filial 1 e 2" count="0" hidden="1"/>
    <cacheHierarchy uniqueName="[Measures].[__No measures defined]" caption="__No measures defined" measure="1" displayFolder="" count="0" hidden="1"/>
    <cacheHierarchy uniqueName="[Measures].[Soma de Preço]" caption="Soma de Preço" measure="1" displayFolder="" measureGroup="Filial 1 e 2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Quantidade]" caption="Soma de Quantidade" measure="1" displayFolder="" measureGroup="Filial 1 e 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édia de Preço]" caption="Média de Preço" measure="1" displayFolder="" measureGroup="Filial 1 e 2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name="Filial 1 e 2" uniqueName="[Filial 1 e 2]" caption="Filial 1 e 2"/>
    <dimension measure="1" name="Measures" uniqueName="[Measures]" caption="Measures"/>
  </dimensions>
  <measureGroups count="1">
    <measureGroup name="Filial 1 e 2" caption="Filial 1 e 2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nicius" refreshedDate="46201.992244097222" backgroundQuery="1" createdVersion="8" refreshedVersion="8" minRefreshableVersion="3" recordCount="0" supportSubquery="1" supportAdvancedDrill="1" xr:uid="{8D4CBC1C-612F-4BA8-9A9C-1BE3F5786D45}">
  <cacheSource type="external" connectionId="7"/>
  <cacheFields count="2">
    <cacheField name="[Measures].[Soma de Quantidade]" caption="Soma de Quantidade" numFmtId="0" hierarchy="16" level="32767"/>
    <cacheField name="[Filial 1 e 2].[Ano].[Ano]" caption="Ano" numFmtId="0" level="1">
      <sharedItems containsSemiMixedTypes="0" containsNonDate="0" containsString="0"/>
    </cacheField>
  </cacheFields>
  <cacheHierarchies count="18">
    <cacheHierarchy uniqueName="[Filial 1 e 2].[Ano]" caption="Ano" attribute="1" defaultMemberUniqueName="[Filial 1 e 2].[Ano].[All]" allUniqueName="[Filial 1 e 2].[Ano].[All]" dimensionUniqueName="[Filial 1 e 2]" displayFolder="" count="2" memberValueDatatype="20" unbalanced="0">
      <fieldsUsage count="2">
        <fieldUsage x="-1"/>
        <fieldUsage x="1"/>
      </fieldsUsage>
    </cacheHierarchy>
    <cacheHierarchy uniqueName="[Filial 1 e 2].[Data]" caption="Data" attribute="1" time="1" defaultMemberUniqueName="[Filial 1 e 2].[Data].[All]" allUniqueName="[Filial 1 e 2].[Data].[All]" dimensionUniqueName="[Filial 1 e 2]" displayFolder="" count="0" memberValueDatatype="7" unbalanced="0"/>
    <cacheHierarchy uniqueName="[Filial 1 e 2].[Mês]" caption="Mês" attribute="1" defaultMemberUniqueName="[Filial 1 e 2].[Mês].[All]" allUniqueName="[Filial 1 e 2].[Mês].[All]" dimensionUniqueName="[Filial 1 e 2]" displayFolder="" count="0" memberValueDatatype="20" unbalanced="0"/>
    <cacheHierarchy uniqueName="[Filial 1 e 2].[Nome do Mês]" caption="Nome do Mês" attribute="1" defaultMemberUniqueName="[Filial 1 e 2].[Nome do Mês].[All]" allUniqueName="[Filial 1 e 2].[Nome do Mês].[All]" dimensionUniqueName="[Filial 1 e 2]" displayFolder="" count="0" memberValueDatatype="130" unbalanced="0"/>
    <cacheHierarchy uniqueName="[Filial 1 e 2].[ID Produto]" caption="ID Produto" attribute="1" defaultMemberUniqueName="[Filial 1 e 2].[ID Produto].[All]" allUniqueName="[Filial 1 e 2].[ID Produto].[All]" dimensionUniqueName="[Filial 1 e 2]" displayFolder="" count="0" memberValueDatatype="20" unbalanced="0"/>
    <cacheHierarchy uniqueName="[Filial 1 e 2].[Produto]" caption="Produto" attribute="1" defaultMemberUniqueName="[Filial 1 e 2].[Produto].[All]" allUniqueName="[Filial 1 e 2].[Produto].[All]" dimensionUniqueName="[Filial 1 e 2]" displayFolder="" count="0" memberValueDatatype="130" unbalanced="0"/>
    <cacheHierarchy uniqueName="[Filial 1 e 2].[Quantidade]" caption="Quantidade" attribute="1" defaultMemberUniqueName="[Filial 1 e 2].[Quantidade].[All]" allUniqueName="[Filial 1 e 2].[Quantidade].[All]" dimensionUniqueName="[Filial 1 e 2]" displayFolder="" count="0" memberValueDatatype="20" unbalanced="0"/>
    <cacheHierarchy uniqueName="[Filial 1 e 2].[Preço]" caption="Preço" attribute="1" defaultMemberUniqueName="[Filial 1 e 2].[Preço].[All]" allUniqueName="[Filial 1 e 2].[Preço].[All]" dimensionUniqueName="[Filial 1 e 2]" displayFolder="" count="0" memberValueDatatype="5" unbalanced="0"/>
    <cacheHierarchy uniqueName="[Filial 1 e 2].[ID Filial]" caption="ID Filial" attribute="1" defaultMemberUniqueName="[Filial 1 e 2].[ID Filial].[All]" allUniqueName="[Filial 1 e 2].[ID Filial].[All]" dimensionUniqueName="[Filial 1 e 2]" displayFolder="" count="2" memberValueDatatype="130" unbalanced="0"/>
    <cacheHierarchy uniqueName="[Filial 1 e 2].[Data (Ano)]" caption="Data (Ano)" attribute="1" defaultMemberUniqueName="[Filial 1 e 2].[Data (Ano)].[All]" allUniqueName="[Filial 1 e 2].[Data (Ano)].[All]" dimensionUniqueName="[Filial 1 e 2]" displayFolder="" count="0" memberValueDatatype="130" unbalanced="0"/>
    <cacheHierarchy uniqueName="[Filial 1 e 2].[Data (Trimestre)]" caption="Data (Trimestre)" attribute="1" defaultMemberUniqueName="[Filial 1 e 2].[Data (Trimestre)].[All]" allUniqueName="[Filial 1 e 2].[Data (Trimestre)].[All]" dimensionUniqueName="[Filial 1 e 2]" displayFolder="" count="0" memberValueDatatype="130" unbalanced="0"/>
    <cacheHierarchy uniqueName="[Filial 1 e 2].[Data (Mês)]" caption="Data (Mês)" attribute="1" defaultMemberUniqueName="[Filial 1 e 2].[Data (Mês)].[All]" allUniqueName="[Filial 1 e 2].[Data (Mês)].[All]" dimensionUniqueName="[Filial 1 e 2]" displayFolder="" count="2" memberValueDatatype="130" unbalanced="0"/>
    <cacheHierarchy uniqueName="[Filial 1 e 2].[Data (Índice de Mês)]" caption="Data (Índice de Mês)" attribute="1" defaultMemberUniqueName="[Filial 1 e 2].[Data (Índice de Mês)].[All]" allUniqueName="[Filial 1 e 2].[Data (Índice de Mês)].[All]" dimensionUniqueName="[Filial 1 e 2]" displayFolder="" count="0" memberValueDatatype="20" unbalanced="0" hidden="1"/>
    <cacheHierarchy uniqueName="[Measures].[__XL_Count Filial 1 e 2]" caption="__XL_Count Filial 1 e 2" measure="1" displayFolder="" measureGroup="Filial 1 e 2" count="0" hidden="1"/>
    <cacheHierarchy uniqueName="[Measures].[__No measures defined]" caption="__No measures defined" measure="1" displayFolder="" count="0" hidden="1"/>
    <cacheHierarchy uniqueName="[Measures].[Soma de Preço]" caption="Soma de Preço" measure="1" displayFolder="" measureGroup="Filial 1 e 2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Quantidade]" caption="Soma de Quantidade" measure="1" displayFolder="" measureGroup="Filial 1 e 2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édia de Preço]" caption="Média de Preço" measure="1" displayFolder="" measureGroup="Filial 1 e 2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name="Filial 1 e 2" uniqueName="[Filial 1 e 2]" caption="Filial 1 e 2"/>
    <dimension measure="1" name="Measures" uniqueName="[Measures]" caption="Measures"/>
  </dimensions>
  <measureGroups count="1">
    <measureGroup name="Filial 1 e 2" caption="Filial 1 e 2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nicius" refreshedDate="46201.992244212961" backgroundQuery="1" createdVersion="8" refreshedVersion="8" minRefreshableVersion="3" recordCount="0" supportSubquery="1" supportAdvancedDrill="1" xr:uid="{1FA3F389-8E10-472B-A4F0-2B7BEE824845}">
  <cacheSource type="external" connectionId="7"/>
  <cacheFields count="2">
    <cacheField name="[Measures].[Média de Preço]" caption="Média de Preço" numFmtId="0" hierarchy="17" level="32767"/>
    <cacheField name="[Filial 1 e 2].[Ano].[Ano]" caption="Ano" numFmtId="0" level="1">
      <sharedItems containsSemiMixedTypes="0" containsNonDate="0" containsString="0"/>
    </cacheField>
  </cacheFields>
  <cacheHierarchies count="18">
    <cacheHierarchy uniqueName="[Filial 1 e 2].[Ano]" caption="Ano" attribute="1" defaultMemberUniqueName="[Filial 1 e 2].[Ano].[All]" allUniqueName="[Filial 1 e 2].[Ano].[All]" dimensionUniqueName="[Filial 1 e 2]" displayFolder="" count="2" memberValueDatatype="20" unbalanced="0">
      <fieldsUsage count="2">
        <fieldUsage x="-1"/>
        <fieldUsage x="1"/>
      </fieldsUsage>
    </cacheHierarchy>
    <cacheHierarchy uniqueName="[Filial 1 e 2].[Data]" caption="Data" attribute="1" time="1" defaultMemberUniqueName="[Filial 1 e 2].[Data].[All]" allUniqueName="[Filial 1 e 2].[Data].[All]" dimensionUniqueName="[Filial 1 e 2]" displayFolder="" count="0" memberValueDatatype="7" unbalanced="0"/>
    <cacheHierarchy uniqueName="[Filial 1 e 2].[Mês]" caption="Mês" attribute="1" defaultMemberUniqueName="[Filial 1 e 2].[Mês].[All]" allUniqueName="[Filial 1 e 2].[Mês].[All]" dimensionUniqueName="[Filial 1 e 2]" displayFolder="" count="0" memberValueDatatype="20" unbalanced="0"/>
    <cacheHierarchy uniqueName="[Filial 1 e 2].[Nome do Mês]" caption="Nome do Mês" attribute="1" defaultMemberUniqueName="[Filial 1 e 2].[Nome do Mês].[All]" allUniqueName="[Filial 1 e 2].[Nome do Mês].[All]" dimensionUniqueName="[Filial 1 e 2]" displayFolder="" count="0" memberValueDatatype="130" unbalanced="0"/>
    <cacheHierarchy uniqueName="[Filial 1 e 2].[ID Produto]" caption="ID Produto" attribute="1" defaultMemberUniqueName="[Filial 1 e 2].[ID Produto].[All]" allUniqueName="[Filial 1 e 2].[ID Produto].[All]" dimensionUniqueName="[Filial 1 e 2]" displayFolder="" count="0" memberValueDatatype="20" unbalanced="0"/>
    <cacheHierarchy uniqueName="[Filial 1 e 2].[Produto]" caption="Produto" attribute="1" defaultMemberUniqueName="[Filial 1 e 2].[Produto].[All]" allUniqueName="[Filial 1 e 2].[Produto].[All]" dimensionUniqueName="[Filial 1 e 2]" displayFolder="" count="0" memberValueDatatype="130" unbalanced="0"/>
    <cacheHierarchy uniqueName="[Filial 1 e 2].[Quantidade]" caption="Quantidade" attribute="1" defaultMemberUniqueName="[Filial 1 e 2].[Quantidade].[All]" allUniqueName="[Filial 1 e 2].[Quantidade].[All]" dimensionUniqueName="[Filial 1 e 2]" displayFolder="" count="0" memberValueDatatype="20" unbalanced="0"/>
    <cacheHierarchy uniqueName="[Filial 1 e 2].[Preço]" caption="Preço" attribute="1" defaultMemberUniqueName="[Filial 1 e 2].[Preço].[All]" allUniqueName="[Filial 1 e 2].[Preço].[All]" dimensionUniqueName="[Filial 1 e 2]" displayFolder="" count="0" memberValueDatatype="5" unbalanced="0"/>
    <cacheHierarchy uniqueName="[Filial 1 e 2].[ID Filial]" caption="ID Filial" attribute="1" defaultMemberUniqueName="[Filial 1 e 2].[ID Filial].[All]" allUniqueName="[Filial 1 e 2].[ID Filial].[All]" dimensionUniqueName="[Filial 1 e 2]" displayFolder="" count="2" memberValueDatatype="130" unbalanced="0"/>
    <cacheHierarchy uniqueName="[Filial 1 e 2].[Data (Ano)]" caption="Data (Ano)" attribute="1" defaultMemberUniqueName="[Filial 1 e 2].[Data (Ano)].[All]" allUniqueName="[Filial 1 e 2].[Data (Ano)].[All]" dimensionUniqueName="[Filial 1 e 2]" displayFolder="" count="0" memberValueDatatype="130" unbalanced="0"/>
    <cacheHierarchy uniqueName="[Filial 1 e 2].[Data (Trimestre)]" caption="Data (Trimestre)" attribute="1" defaultMemberUniqueName="[Filial 1 e 2].[Data (Trimestre)].[All]" allUniqueName="[Filial 1 e 2].[Data (Trimestre)].[All]" dimensionUniqueName="[Filial 1 e 2]" displayFolder="" count="0" memberValueDatatype="130" unbalanced="0"/>
    <cacheHierarchy uniqueName="[Filial 1 e 2].[Data (Mês)]" caption="Data (Mês)" attribute="1" defaultMemberUniqueName="[Filial 1 e 2].[Data (Mês)].[All]" allUniqueName="[Filial 1 e 2].[Data (Mês)].[All]" dimensionUniqueName="[Filial 1 e 2]" displayFolder="" count="2" memberValueDatatype="130" unbalanced="0"/>
    <cacheHierarchy uniqueName="[Filial 1 e 2].[Data (Índice de Mês)]" caption="Data (Índice de Mês)" attribute="1" defaultMemberUniqueName="[Filial 1 e 2].[Data (Índice de Mês)].[All]" allUniqueName="[Filial 1 e 2].[Data (Índice de Mês)].[All]" dimensionUniqueName="[Filial 1 e 2]" displayFolder="" count="0" memberValueDatatype="20" unbalanced="0" hidden="1"/>
    <cacheHierarchy uniqueName="[Measures].[__XL_Count Filial 1 e 2]" caption="__XL_Count Filial 1 e 2" measure="1" displayFolder="" measureGroup="Filial 1 e 2" count="0" hidden="1"/>
    <cacheHierarchy uniqueName="[Measures].[__No measures defined]" caption="__No measures defined" measure="1" displayFolder="" count="0" hidden="1"/>
    <cacheHierarchy uniqueName="[Measures].[Soma de Preço]" caption="Soma de Preço" measure="1" displayFolder="" measureGroup="Filial 1 e 2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Quantidade]" caption="Soma de Quantidade" measure="1" displayFolder="" measureGroup="Filial 1 e 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édia de Preço]" caption="Média de Preço" measure="1" displayFolder="" measureGroup="Filial 1 e 2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name="Filial 1 e 2" uniqueName="[Filial 1 e 2]" caption="Filial 1 e 2"/>
    <dimension measure="1" name="Measures" uniqueName="[Measures]" caption="Measures"/>
  </dimensions>
  <measureGroups count="1">
    <measureGroup name="Filial 1 e 2" caption="Filial 1 e 2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nicius" refreshedDate="46201.992244560184" backgroundQuery="1" createdVersion="8" refreshedVersion="8" minRefreshableVersion="3" recordCount="0" supportSubquery="1" supportAdvancedDrill="1" xr:uid="{2D23E01F-75BE-4D82-A9B2-1C1C6459C688}">
  <cacheSource type="external" connectionId="7"/>
  <cacheFields count="3">
    <cacheField name="[Filial 1 e 2].[Produto].[Produto]" caption="Produto" numFmtId="0" hierarchy="5" level="1">
      <sharedItems count="5">
        <s v="Café Coado"/>
        <s v="Café Expresso"/>
        <s v="Frappé"/>
        <s v="Hamburguer"/>
        <s v="Suco de Laranja"/>
      </sharedItems>
    </cacheField>
    <cacheField name="[Measures].[Soma de Preço]" caption="Soma de Preço" numFmtId="0" hierarchy="15" level="32767"/>
    <cacheField name="[Filial 1 e 2].[Ano].[Ano]" caption="Ano" numFmtId="0" level="1">
      <sharedItems containsSemiMixedTypes="0" containsNonDate="0" containsString="0"/>
    </cacheField>
  </cacheFields>
  <cacheHierarchies count="18">
    <cacheHierarchy uniqueName="[Filial 1 e 2].[Ano]" caption="Ano" attribute="1" defaultMemberUniqueName="[Filial 1 e 2].[Ano].[All]" allUniqueName="[Filial 1 e 2].[Ano].[All]" dimensionUniqueName="[Filial 1 e 2]" displayFolder="" count="2" memberValueDatatype="20" unbalanced="0">
      <fieldsUsage count="2">
        <fieldUsage x="-1"/>
        <fieldUsage x="2"/>
      </fieldsUsage>
    </cacheHierarchy>
    <cacheHierarchy uniqueName="[Filial 1 e 2].[Data]" caption="Data" attribute="1" time="1" defaultMemberUniqueName="[Filial 1 e 2].[Data].[All]" allUniqueName="[Filial 1 e 2].[Data].[All]" dimensionUniqueName="[Filial 1 e 2]" displayFolder="" count="0" memberValueDatatype="7" unbalanced="0"/>
    <cacheHierarchy uniqueName="[Filial 1 e 2].[Mês]" caption="Mês" attribute="1" defaultMemberUniqueName="[Filial 1 e 2].[Mês].[All]" allUniqueName="[Filial 1 e 2].[Mês].[All]" dimensionUniqueName="[Filial 1 e 2]" displayFolder="" count="0" memberValueDatatype="20" unbalanced="0"/>
    <cacheHierarchy uniqueName="[Filial 1 e 2].[Nome do Mês]" caption="Nome do Mês" attribute="1" defaultMemberUniqueName="[Filial 1 e 2].[Nome do Mês].[All]" allUniqueName="[Filial 1 e 2].[Nome do Mês].[All]" dimensionUniqueName="[Filial 1 e 2]" displayFolder="" count="0" memberValueDatatype="130" unbalanced="0"/>
    <cacheHierarchy uniqueName="[Filial 1 e 2].[ID Produto]" caption="ID Produto" attribute="1" defaultMemberUniqueName="[Filial 1 e 2].[ID Produto].[All]" allUniqueName="[Filial 1 e 2].[ID Produto].[All]" dimensionUniqueName="[Filial 1 e 2]" displayFolder="" count="0" memberValueDatatype="20" unbalanced="0"/>
    <cacheHierarchy uniqueName="[Filial 1 e 2].[Produto]" caption="Produto" attribute="1" defaultMemberUniqueName="[Filial 1 e 2].[Produto].[All]" allUniqueName="[Filial 1 e 2].[Produto].[All]" dimensionUniqueName="[Filial 1 e 2]" displayFolder="" count="2" memberValueDatatype="130" unbalanced="0">
      <fieldsUsage count="2">
        <fieldUsage x="-1"/>
        <fieldUsage x="0"/>
      </fieldsUsage>
    </cacheHierarchy>
    <cacheHierarchy uniqueName="[Filial 1 e 2].[Quantidade]" caption="Quantidade" attribute="1" defaultMemberUniqueName="[Filial 1 e 2].[Quantidade].[All]" allUniqueName="[Filial 1 e 2].[Quantidade].[All]" dimensionUniqueName="[Filial 1 e 2]" displayFolder="" count="0" memberValueDatatype="20" unbalanced="0"/>
    <cacheHierarchy uniqueName="[Filial 1 e 2].[Preço]" caption="Preço" attribute="1" defaultMemberUniqueName="[Filial 1 e 2].[Preço].[All]" allUniqueName="[Filial 1 e 2].[Preço].[All]" dimensionUniqueName="[Filial 1 e 2]" displayFolder="" count="0" memberValueDatatype="5" unbalanced="0"/>
    <cacheHierarchy uniqueName="[Filial 1 e 2].[ID Filial]" caption="ID Filial" attribute="1" defaultMemberUniqueName="[Filial 1 e 2].[ID Filial].[All]" allUniqueName="[Filial 1 e 2].[ID Filial].[All]" dimensionUniqueName="[Filial 1 e 2]" displayFolder="" count="2" memberValueDatatype="130" unbalanced="0"/>
    <cacheHierarchy uniqueName="[Filial 1 e 2].[Data (Ano)]" caption="Data (Ano)" attribute="1" defaultMemberUniqueName="[Filial 1 e 2].[Data (Ano)].[All]" allUniqueName="[Filial 1 e 2].[Data (Ano)].[All]" dimensionUniqueName="[Filial 1 e 2]" displayFolder="" count="0" memberValueDatatype="130" unbalanced="0"/>
    <cacheHierarchy uniqueName="[Filial 1 e 2].[Data (Trimestre)]" caption="Data (Trimestre)" attribute="1" defaultMemberUniqueName="[Filial 1 e 2].[Data (Trimestre)].[All]" allUniqueName="[Filial 1 e 2].[Data (Trimestre)].[All]" dimensionUniqueName="[Filial 1 e 2]" displayFolder="" count="0" memberValueDatatype="130" unbalanced="0"/>
    <cacheHierarchy uniqueName="[Filial 1 e 2].[Data (Mês)]" caption="Data (Mês)" attribute="1" defaultMemberUniqueName="[Filial 1 e 2].[Data (Mês)].[All]" allUniqueName="[Filial 1 e 2].[Data (Mês)].[All]" dimensionUniqueName="[Filial 1 e 2]" displayFolder="" count="2" memberValueDatatype="130" unbalanced="0"/>
    <cacheHierarchy uniqueName="[Filial 1 e 2].[Data (Índice de Mês)]" caption="Data (Índice de Mês)" attribute="1" defaultMemberUniqueName="[Filial 1 e 2].[Data (Índice de Mês)].[All]" allUniqueName="[Filial 1 e 2].[Data (Índice de Mês)].[All]" dimensionUniqueName="[Filial 1 e 2]" displayFolder="" count="0" memberValueDatatype="20" unbalanced="0" hidden="1"/>
    <cacheHierarchy uniqueName="[Measures].[__XL_Count Filial 1 e 2]" caption="__XL_Count Filial 1 e 2" measure="1" displayFolder="" measureGroup="Filial 1 e 2" count="0" hidden="1"/>
    <cacheHierarchy uniqueName="[Measures].[__No measures defined]" caption="__No measures defined" measure="1" displayFolder="" count="0" hidden="1"/>
    <cacheHierarchy uniqueName="[Measures].[Soma de Preço]" caption="Soma de Preço" measure="1" displayFolder="" measureGroup="Filial 1 e 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Quantidade]" caption="Soma de Quantidade" measure="1" displayFolder="" measureGroup="Filial 1 e 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édia de Preço]" caption="Média de Preço" measure="1" displayFolder="" measureGroup="Filial 1 e 2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name="Filial 1 e 2" uniqueName="[Filial 1 e 2]" caption="Filial 1 e 2"/>
    <dimension measure="1" name="Measures" uniqueName="[Measures]" caption="Measures"/>
  </dimensions>
  <measureGroups count="1">
    <measureGroup name="Filial 1 e 2" caption="Filial 1 e 2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nicius" refreshedDate="46201.992244907407" backgroundQuery="1" createdVersion="8" refreshedVersion="8" minRefreshableVersion="3" recordCount="0" supportSubquery="1" supportAdvancedDrill="1" xr:uid="{9A83B6A6-C3F9-458C-A608-9E237B956BA0}">
  <cacheSource type="external" connectionId="7"/>
  <cacheFields count="3">
    <cacheField name="[Filial 1 e 2].[Produto].[Produto]" caption="Produto" numFmtId="0" hierarchy="5" level="1">
      <sharedItems count="3">
        <s v="Água"/>
        <s v="Café Coado"/>
        <s v="Café Expresso"/>
      </sharedItems>
    </cacheField>
    <cacheField name="[Measures].[Soma de Quantidade]" caption="Soma de Quantidade" numFmtId="0" hierarchy="16" level="32767"/>
    <cacheField name="[Filial 1 e 2].[Ano].[Ano]" caption="Ano" numFmtId="0" level="1">
      <sharedItems containsSemiMixedTypes="0" containsNonDate="0" containsString="0"/>
    </cacheField>
  </cacheFields>
  <cacheHierarchies count="18">
    <cacheHierarchy uniqueName="[Filial 1 e 2].[Ano]" caption="Ano" attribute="1" defaultMemberUniqueName="[Filial 1 e 2].[Ano].[All]" allUniqueName="[Filial 1 e 2].[Ano].[All]" dimensionUniqueName="[Filial 1 e 2]" displayFolder="" count="2" memberValueDatatype="20" unbalanced="0">
      <fieldsUsage count="2">
        <fieldUsage x="-1"/>
        <fieldUsage x="2"/>
      </fieldsUsage>
    </cacheHierarchy>
    <cacheHierarchy uniqueName="[Filial 1 e 2].[Data]" caption="Data" attribute="1" time="1" defaultMemberUniqueName="[Filial 1 e 2].[Data].[All]" allUniqueName="[Filial 1 e 2].[Data].[All]" dimensionUniqueName="[Filial 1 e 2]" displayFolder="" count="0" memberValueDatatype="7" unbalanced="0"/>
    <cacheHierarchy uniqueName="[Filial 1 e 2].[Mês]" caption="Mês" attribute="1" defaultMemberUniqueName="[Filial 1 e 2].[Mês].[All]" allUniqueName="[Filial 1 e 2].[Mês].[All]" dimensionUniqueName="[Filial 1 e 2]" displayFolder="" count="0" memberValueDatatype="20" unbalanced="0"/>
    <cacheHierarchy uniqueName="[Filial 1 e 2].[Nome do Mês]" caption="Nome do Mês" attribute="1" defaultMemberUniqueName="[Filial 1 e 2].[Nome do Mês].[All]" allUniqueName="[Filial 1 e 2].[Nome do Mês].[All]" dimensionUniqueName="[Filial 1 e 2]" displayFolder="" count="0" memberValueDatatype="130" unbalanced="0"/>
    <cacheHierarchy uniqueName="[Filial 1 e 2].[ID Produto]" caption="ID Produto" attribute="1" defaultMemberUniqueName="[Filial 1 e 2].[ID Produto].[All]" allUniqueName="[Filial 1 e 2].[ID Produto].[All]" dimensionUniqueName="[Filial 1 e 2]" displayFolder="" count="0" memberValueDatatype="20" unbalanced="0"/>
    <cacheHierarchy uniqueName="[Filial 1 e 2].[Produto]" caption="Produto" attribute="1" defaultMemberUniqueName="[Filial 1 e 2].[Produto].[All]" allUniqueName="[Filial 1 e 2].[Produto].[All]" dimensionUniqueName="[Filial 1 e 2]" displayFolder="" count="2" memberValueDatatype="130" unbalanced="0">
      <fieldsUsage count="2">
        <fieldUsage x="-1"/>
        <fieldUsage x="0"/>
      </fieldsUsage>
    </cacheHierarchy>
    <cacheHierarchy uniqueName="[Filial 1 e 2].[Quantidade]" caption="Quantidade" attribute="1" defaultMemberUniqueName="[Filial 1 e 2].[Quantidade].[All]" allUniqueName="[Filial 1 e 2].[Quantidade].[All]" dimensionUniqueName="[Filial 1 e 2]" displayFolder="" count="0" memberValueDatatype="20" unbalanced="0"/>
    <cacheHierarchy uniqueName="[Filial 1 e 2].[Preço]" caption="Preço" attribute="1" defaultMemberUniqueName="[Filial 1 e 2].[Preço].[All]" allUniqueName="[Filial 1 e 2].[Preço].[All]" dimensionUniqueName="[Filial 1 e 2]" displayFolder="" count="0" memberValueDatatype="5" unbalanced="0"/>
    <cacheHierarchy uniqueName="[Filial 1 e 2].[ID Filial]" caption="ID Filial" attribute="1" defaultMemberUniqueName="[Filial 1 e 2].[ID Filial].[All]" allUniqueName="[Filial 1 e 2].[ID Filial].[All]" dimensionUniqueName="[Filial 1 e 2]" displayFolder="" count="2" memberValueDatatype="130" unbalanced="0"/>
    <cacheHierarchy uniqueName="[Filial 1 e 2].[Data (Ano)]" caption="Data (Ano)" attribute="1" defaultMemberUniqueName="[Filial 1 e 2].[Data (Ano)].[All]" allUniqueName="[Filial 1 e 2].[Data (Ano)].[All]" dimensionUniqueName="[Filial 1 e 2]" displayFolder="" count="0" memberValueDatatype="130" unbalanced="0"/>
    <cacheHierarchy uniqueName="[Filial 1 e 2].[Data (Trimestre)]" caption="Data (Trimestre)" attribute="1" defaultMemberUniqueName="[Filial 1 e 2].[Data (Trimestre)].[All]" allUniqueName="[Filial 1 e 2].[Data (Trimestre)].[All]" dimensionUniqueName="[Filial 1 e 2]" displayFolder="" count="0" memberValueDatatype="130" unbalanced="0"/>
    <cacheHierarchy uniqueName="[Filial 1 e 2].[Data (Mês)]" caption="Data (Mês)" attribute="1" defaultMemberUniqueName="[Filial 1 e 2].[Data (Mês)].[All]" allUniqueName="[Filial 1 e 2].[Data (Mês)].[All]" dimensionUniqueName="[Filial 1 e 2]" displayFolder="" count="2" memberValueDatatype="130" unbalanced="0"/>
    <cacheHierarchy uniqueName="[Filial 1 e 2].[Data (Índice de Mês)]" caption="Data (Índice de Mês)" attribute="1" defaultMemberUniqueName="[Filial 1 e 2].[Data (Índice de Mês)].[All]" allUniqueName="[Filial 1 e 2].[Data (Índice de Mês)].[All]" dimensionUniqueName="[Filial 1 e 2]" displayFolder="" count="0" memberValueDatatype="20" unbalanced="0" hidden="1"/>
    <cacheHierarchy uniqueName="[Measures].[__XL_Count Filial 1 e 2]" caption="__XL_Count Filial 1 e 2" measure="1" displayFolder="" measureGroup="Filial 1 e 2" count="0" hidden="1"/>
    <cacheHierarchy uniqueName="[Measures].[__No measures defined]" caption="__No measures defined" measure="1" displayFolder="" count="0" hidden="1"/>
    <cacheHierarchy uniqueName="[Measures].[Soma de Preço]" caption="Soma de Preço" measure="1" displayFolder="" measureGroup="Filial 1 e 2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Quantidade]" caption="Soma de Quantidade" measure="1" displayFolder="" measureGroup="Filial 1 e 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édia de Preço]" caption="Média de Preço" measure="1" displayFolder="" measureGroup="Filial 1 e 2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name="Filial 1 e 2" uniqueName="[Filial 1 e 2]" caption="Filial 1 e 2"/>
    <dimension measure="1" name="Measures" uniqueName="[Measures]" caption="Measures"/>
  </dimensions>
  <measureGroups count="1">
    <measureGroup name="Filial 1 e 2" caption="Filial 1 e 2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nicius" refreshedDate="46201.918733564817" backgroundQuery="1" createdVersion="3" refreshedVersion="8" minRefreshableVersion="3" recordCount="0" supportSubquery="1" supportAdvancedDrill="1" xr:uid="{EE8F61B9-5819-4234-9005-4E36A66C57B4}">
  <cacheSource type="external" connectionId="7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18">
    <cacheHierarchy uniqueName="[Filial 1 e 2].[Ano]" caption="Ano" attribute="1" defaultMemberUniqueName="[Filial 1 e 2].[Ano].[All]" allUniqueName="[Filial 1 e 2].[Ano].[All]" dimensionUniqueName="[Filial 1 e 2]" displayFolder="" count="2" memberValueDatatype="20" unbalanced="0"/>
    <cacheHierarchy uniqueName="[Filial 1 e 2].[Data]" caption="Data" attribute="1" time="1" defaultMemberUniqueName="[Filial 1 e 2].[Data].[All]" allUniqueName="[Filial 1 e 2].[Data].[All]" dimensionUniqueName="[Filial 1 e 2]" displayFolder="" count="0" memberValueDatatype="7" unbalanced="0"/>
    <cacheHierarchy uniqueName="[Filial 1 e 2].[Mês]" caption="Mês" attribute="1" defaultMemberUniqueName="[Filial 1 e 2].[Mês].[All]" allUniqueName="[Filial 1 e 2].[Mês].[All]" dimensionUniqueName="[Filial 1 e 2]" displayFolder="" count="0" memberValueDatatype="20" unbalanced="0"/>
    <cacheHierarchy uniqueName="[Filial 1 e 2].[Nome do Mês]" caption="Nome do Mês" attribute="1" defaultMemberUniqueName="[Filial 1 e 2].[Nome do Mês].[All]" allUniqueName="[Filial 1 e 2].[Nome do Mês].[All]" dimensionUniqueName="[Filial 1 e 2]" displayFolder="" count="0" memberValueDatatype="130" unbalanced="0"/>
    <cacheHierarchy uniqueName="[Filial 1 e 2].[ID Produto]" caption="ID Produto" attribute="1" defaultMemberUniqueName="[Filial 1 e 2].[ID Produto].[All]" allUniqueName="[Filial 1 e 2].[ID Produto].[All]" dimensionUniqueName="[Filial 1 e 2]" displayFolder="" count="0" memberValueDatatype="20" unbalanced="0"/>
    <cacheHierarchy uniqueName="[Filial 1 e 2].[Produto]" caption="Produto" attribute="1" defaultMemberUniqueName="[Filial 1 e 2].[Produto].[All]" allUniqueName="[Filial 1 e 2].[Produto].[All]" dimensionUniqueName="[Filial 1 e 2]" displayFolder="" count="0" memberValueDatatype="130" unbalanced="0"/>
    <cacheHierarchy uniqueName="[Filial 1 e 2].[Quantidade]" caption="Quantidade" attribute="1" defaultMemberUniqueName="[Filial 1 e 2].[Quantidade].[All]" allUniqueName="[Filial 1 e 2].[Quantidade].[All]" dimensionUniqueName="[Filial 1 e 2]" displayFolder="" count="0" memberValueDatatype="20" unbalanced="0"/>
    <cacheHierarchy uniqueName="[Filial 1 e 2].[Preço]" caption="Preço" attribute="1" defaultMemberUniqueName="[Filial 1 e 2].[Preço].[All]" allUniqueName="[Filial 1 e 2].[Preço].[All]" dimensionUniqueName="[Filial 1 e 2]" displayFolder="" count="0" memberValueDatatype="5" unbalanced="0"/>
    <cacheHierarchy uniqueName="[Filial 1 e 2].[ID Filial]" caption="ID Filial" attribute="1" defaultMemberUniqueName="[Filial 1 e 2].[ID Filial].[All]" allUniqueName="[Filial 1 e 2].[ID Filial].[All]" dimensionUniqueName="[Filial 1 e 2]" displayFolder="" count="2" memberValueDatatype="130" unbalanced="0"/>
    <cacheHierarchy uniqueName="[Filial 1 e 2].[Data (Ano)]" caption="Data (Ano)" attribute="1" defaultMemberUniqueName="[Filial 1 e 2].[Data (Ano)].[All]" allUniqueName="[Filial 1 e 2].[Data (Ano)].[All]" dimensionUniqueName="[Filial 1 e 2]" displayFolder="" count="0" memberValueDatatype="130" unbalanced="0"/>
    <cacheHierarchy uniqueName="[Filial 1 e 2].[Data (Trimestre)]" caption="Data (Trimestre)" attribute="1" defaultMemberUniqueName="[Filial 1 e 2].[Data (Trimestre)].[All]" allUniqueName="[Filial 1 e 2].[Data (Trimestre)].[All]" dimensionUniqueName="[Filial 1 e 2]" displayFolder="" count="0" memberValueDatatype="130" unbalanced="0"/>
    <cacheHierarchy uniqueName="[Filial 1 e 2].[Data (Mês)]" caption="Data (Mês)" attribute="1" defaultMemberUniqueName="[Filial 1 e 2].[Data (Mês)].[All]" allUniqueName="[Filial 1 e 2].[Data (Mês)].[All]" dimensionUniqueName="[Filial 1 e 2]" displayFolder="" count="2" memberValueDatatype="130" unbalanced="0"/>
    <cacheHierarchy uniqueName="[Filial 1 e 2].[Data (Índice de Mês)]" caption="Data (Índice de Mês)" attribute="1" defaultMemberUniqueName="[Filial 1 e 2].[Data (Índice de Mês)].[All]" allUniqueName="[Filial 1 e 2].[Data (Índice de Mês)].[All]" dimensionUniqueName="[Filial 1 e 2]" displayFolder="" count="0" memberValueDatatype="20" unbalanced="0" hidden="1"/>
    <cacheHierarchy uniqueName="[Measures].[__XL_Count Filial 1 e 2]" caption="__XL_Count Filial 1 e 2" measure="1" displayFolder="" measureGroup="Filial 1 e 2" count="0" hidden="1"/>
    <cacheHierarchy uniqueName="[Measures].[__No measures defined]" caption="__No measures defined" measure="1" displayFolder="" count="0" hidden="1"/>
    <cacheHierarchy uniqueName="[Measures].[Soma de Preço]" caption="Soma de Preço" measure="1" displayFolder="" measureGroup="Filial 1 e 2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Quantidade]" caption="Soma de Quantidade" measure="1" displayFolder="" measureGroup="Filial 1 e 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édia de Preço]" caption="Média de Preço" measure="1" displayFolder="" measureGroup="Filial 1 e 2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738681225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715D9A-B40F-4CC4-A257-2A216ACAD32B}" name="Tabela dinâmica6" cacheId="59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E9:F13" firstHeaderRow="1" firstDataRow="1" firstDataCol="1"/>
  <pivotFields count="3">
    <pivotField axis="axisRow" allDrilled="1" subtotalTop="0" showAll="0" measureFilter="1" sortType="ascending" defaultSubtotal="0" defaultAttributeDrillState="1">
      <items count="3">
        <item x="0"/>
        <item x="1"/>
        <item x="2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Quantidade" fld="1" baseField="0" baseItem="0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8"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16">
      <autoFilter ref="A1">
        <filterColumn colId="0">
          <top10 val="3" filterVal="3"/>
        </filterColumn>
      </autoFilter>
    </filter>
  </filters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ilial 1 e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1FC1C5-F322-416E-9876-0CA8A7044FF0}" name="Tabela dinâmica5" cacheId="58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E1:F7" firstHeaderRow="1" firstDataRow="1" firstDataCol="1"/>
  <pivotFields count="3">
    <pivotField axis="axisRow" allDrilled="1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6">
    <i>
      <x v="1"/>
    </i>
    <i>
      <x/>
    </i>
    <i>
      <x v="3"/>
    </i>
    <i>
      <x v="4"/>
    </i>
    <i>
      <x v="2"/>
    </i>
    <i t="grand">
      <x/>
    </i>
  </rowItems>
  <colItems count="1">
    <i/>
  </colItems>
  <dataFields count="1">
    <dataField name="Soma de Preço" fld="1" baseField="0" baseItem="0" numFmtId="44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8"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15">
      <autoFilter ref="A1">
        <filterColumn colId="0">
          <top10 val="5" filterVal="5"/>
        </filterColumn>
      </autoFilter>
    </filter>
  </filters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ilial 1 e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B24E52-7AF3-4510-B11B-4F912DBD55F0}" name="Tabela dinâmica4" cacheId="57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4:B17" firstHeaderRow="1" firstDataRow="1" firstDataCol="1"/>
  <pivotFields count="3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Preço" fld="1" baseField="0" baseItem="4" numFmtId="44"/>
  </dataFields>
  <chartFormats count="2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18"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ilial 1 e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55B798-2D20-4FE2-9F38-07D902452793}" name="Tabela dinâmica3" cacheId="58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1:C2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Média de Preço" fld="0" subtotal="average" baseField="0" baseItem="0" numFmtId="44"/>
  </dataFields>
  <pivotHierarchies count="18"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Média de Preço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ilial 1 e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2B1E4B-29AC-4ECA-BEE7-C635D557974B}" name="Tabela dinâmica2" cacheId="58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1:B2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Soma de Quantidade" fld="0" baseField="0" baseItem="0"/>
  </dataFields>
  <pivotHierarchies count="18"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ilial 1 e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B1B7F9-C1BA-401B-94B2-03E87A65F304}" name="Tabela dinâmica1" cacheId="58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A2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Soma de Preço" fld="0" baseField="0" baseItem="0" numFmtId="44"/>
  </dataFields>
  <pivotHierarchies count="18"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ilial 1 e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backgroundRefresh="0" connectionId="6" xr16:uid="{01901785-BC91-45D7-96ED-C37DA93EC364}" autoFormatId="16" applyNumberFormats="0" applyBorderFormats="0" applyFontFormats="0" applyPatternFormats="0" applyAlignmentFormats="0" applyWidthHeightFormats="0">
  <queryTableRefresh nextId="14">
    <queryTableFields count="13">
      <queryTableField id="1" name="Ano" tableColumnId="1"/>
      <queryTableField id="2" name="Data" tableColumnId="2"/>
      <queryTableField id="3" name="Mês" tableColumnId="3"/>
      <queryTableField id="4" name="Nome do Mês" tableColumnId="4"/>
      <queryTableField id="5" name="ID Produto" tableColumnId="5"/>
      <queryTableField id="6" name="Produto" tableColumnId="6"/>
      <queryTableField id="7" name="Quantidade" tableColumnId="7"/>
      <queryTableField id="8" name="Preço" tableColumnId="8"/>
      <queryTableField id="9" name="ID Filial" tableColumnId="9"/>
      <queryTableField id="10" name="Data (Ano)" tableColumnId="10"/>
      <queryTableField id="11" name="Data (Trimestre)" tableColumnId="11"/>
      <queryTableField id="12" name="Data (Índice de Mês)" tableColumnId="12"/>
      <queryTableField id="13" name="Data (Mês)" tableColumnId="13"/>
    </queryTableFields>
  </queryTableRefresh>
  <extLst>
    <ext xmlns:x15="http://schemas.microsoft.com/office/spreadsheetml/2010/11/main" uri="{883FBD77-0823-4a55-B5E3-86C4891E6966}">
      <x15:queryTable sourceDataName="Consulta - Filial 1 e 2"/>
    </ext>
  </extLst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" xr10:uid="{4ECCD7E4-BEBF-452F-BF12-1B005D8F7CB0}" sourceName="[Filial 1 e 2].[Ano]">
  <pivotTables>
    <pivotTable tabId="3" name="Tabela dinâmica4"/>
    <pivotTable tabId="3" name="Tabela dinâmica1"/>
    <pivotTable tabId="3" name="Tabela dinâmica2"/>
    <pivotTable tabId="3" name="Tabela dinâmica3"/>
    <pivotTable tabId="3" name="Tabela dinâmica5"/>
    <pivotTable tabId="3" name="Tabela dinâmica6"/>
  </pivotTables>
  <data>
    <olap pivotCacheId="738681225">
      <levels count="2">
        <level uniqueName="[Filial 1 e 2].[Ano].[(All)]" sourceCaption="(All)" count="0"/>
        <level uniqueName="[Filial 1 e 2].[Ano].[Ano]" sourceCaption="Ano" count="2">
          <ranges>
            <range startItem="0">
              <i n="[Filial 1 e 2].[Ano].&amp;[2022]" c="2022"/>
              <i n="[Filial 1 e 2].[Ano].&amp;[2023]" c="2023"/>
            </range>
          </ranges>
        </level>
      </levels>
      <selections count="1">
        <selection n="[Filial 1 e 2].[Ano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ID_Filial" xr10:uid="{91A71F4D-0983-4109-9425-FED0EC2F9AA5}" sourceName="[Filial 1 e 2].[ID Filial]">
  <pivotTables>
    <pivotTable tabId="3" name="Tabela dinâmica4"/>
    <pivotTable tabId="3" name="Tabela dinâmica1"/>
    <pivotTable tabId="3" name="Tabela dinâmica2"/>
    <pivotTable tabId="3" name="Tabela dinâmica3"/>
    <pivotTable tabId="3" name="Tabela dinâmica5"/>
    <pivotTable tabId="3" name="Tabela dinâmica6"/>
  </pivotTables>
  <data>
    <olap pivotCacheId="738681225">
      <levels count="2">
        <level uniqueName="[Filial 1 e 2].[ID Filial].[(All)]" sourceCaption="(All)" count="0"/>
        <level uniqueName="[Filial 1 e 2].[ID Filial].[ID Filial]" sourceCaption="ID Filial" count="2">
          <ranges>
            <range startItem="0">
              <i n="[Filial 1 e 2].[ID Filial].&amp;[SCB_01]" c="SCB_01"/>
              <i n="[Filial 1 e 2].[ID Filial].&amp;[SCB_02]" c="SCB_02"/>
            </range>
          </ranges>
        </level>
      </levels>
      <selections count="1">
        <selection n="[Filial 1 e 2].[ID Filial].[All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ata__Mês" xr10:uid="{878F3CB0-F06C-4C02-83B0-FD035C532843}" sourceName="[Filial 1 e 2].[Data (Mês)]">
  <pivotTables>
    <pivotTable tabId="3" name="Tabela dinâmica4"/>
    <pivotTable tabId="3" name="Tabela dinâmica1"/>
    <pivotTable tabId="3" name="Tabela dinâmica2"/>
    <pivotTable tabId="3" name="Tabela dinâmica3"/>
    <pivotTable tabId="3" name="Tabela dinâmica5"/>
    <pivotTable tabId="3" name="Tabela dinâmica6"/>
  </pivotTables>
  <data>
    <olap pivotCacheId="738681225">
      <levels count="2">
        <level uniqueName="[Filial 1 e 2].[Data (Mês)].[(All)]" sourceCaption="(All)" count="0"/>
        <level uniqueName="[Filial 1 e 2].[Data (Mês)].[Data (Mês)]" sourceCaption="Data (Mês)" count="12">
          <ranges>
            <range startItem="0">
              <i n="[Filial 1 e 2].[Data (Mês)].&amp;[jan]" c="jan"/>
              <i n="[Filial 1 e 2].[Data (Mês)].&amp;[fev]" c="fev"/>
              <i n="[Filial 1 e 2].[Data (Mês)].&amp;[mar]" c="mar"/>
              <i n="[Filial 1 e 2].[Data (Mês)].&amp;[abr]" c="abr"/>
              <i n="[Filial 1 e 2].[Data (Mês)].&amp;[mai]" c="mai"/>
              <i n="[Filial 1 e 2].[Data (Mês)].&amp;[jun]" c="jun"/>
              <i n="[Filial 1 e 2].[Data (Mês)].&amp;[jul]" c="jul"/>
              <i n="[Filial 1 e 2].[Data (Mês)].&amp;[ago]" c="ago"/>
              <i n="[Filial 1 e 2].[Data (Mês)].&amp;[set]" c="set"/>
              <i n="[Filial 1 e 2].[Data (Mês)].&amp;[out]" c="out"/>
              <i n="[Filial 1 e 2].[Data (Mês)].&amp;[nov]" c="nov"/>
              <i n="[Filial 1 e 2].[Data (Mês)].&amp;[dez]" c="dez"/>
            </range>
          </ranges>
        </level>
      </levels>
      <selections count="1">
        <selection n="[Filial 1 e 2].[Data (Mês)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" xr10:uid="{73DE056F-22E2-4A93-82D0-F5CBEDD8765C}" cache="SegmentaçãodeDados_Ano" caption="Ano" columnCount="2" showCaption="0" level="1" style="SlicerStyleLight1 2" rowHeight="234950"/>
  <slicer name="ID Filial" xr10:uid="{69DA0F59-2087-4153-9242-91B01A3AEE08}" cache="SegmentaçãodeDados_ID_Filial" caption="ID Filial" columnCount="2" showCaption="0" level="1" style="SlicerStyleLight1 2" rowHeight="234950"/>
  <slicer name="Data (Mês)" xr10:uid="{90E65A5D-A1B4-4D0A-B384-B614B6FCADC9}" cache="SegmentaçãodeDados_Data__Mês" caption="Data (Mês)" columnCount="2" showCaption="0" level="1" style="SlicerStyleLight1 2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62CE73-6120-40AB-A599-3876557B98DD}" name="Filial_1_e_2" displayName="Filial_1_e_2" ref="A1:M688" tableType="queryTable" totalsRowShown="0">
  <autoFilter ref="A1:M688" xr:uid="{CA62CE73-6120-40AB-A599-3876557B98DD}"/>
  <tableColumns count="13">
    <tableColumn id="1" xr3:uid="{A6A3AD9A-4ED3-45FC-BD64-2C3FF1EA0F48}" uniqueName="1" name="Ano" queryTableFieldId="1"/>
    <tableColumn id="2" xr3:uid="{BFE98E9C-B72D-4B54-BC26-72D9989858C4}" uniqueName="2" name="Data" queryTableFieldId="2" dataDxfId="5"/>
    <tableColumn id="3" xr3:uid="{79E648BE-DE36-4A86-9297-81E0D8126EAF}" uniqueName="3" name="Mês" queryTableFieldId="3"/>
    <tableColumn id="4" xr3:uid="{6CBBF554-3CB1-44BE-B59F-39E34766807A}" uniqueName="4" name="Nome do Mês" queryTableFieldId="4" dataDxfId="4"/>
    <tableColumn id="5" xr3:uid="{11409DB8-D935-4D15-8518-7D19F5058CFE}" uniqueName="5" name="ID Produto" queryTableFieldId="5"/>
    <tableColumn id="6" xr3:uid="{3E7A9E0D-ED0D-47F6-ADAA-E42B9CA9036F}" uniqueName="6" name="Produto" queryTableFieldId="6" dataDxfId="3"/>
    <tableColumn id="7" xr3:uid="{A84E5BC2-D4DA-440A-9408-44D58F705F25}" uniqueName="7" name="Quantidade" queryTableFieldId="7"/>
    <tableColumn id="8" xr3:uid="{DF62D574-FB0D-45D7-A4DE-8B11D242EED9}" uniqueName="8" name="Preço" queryTableFieldId="8"/>
    <tableColumn id="9" xr3:uid="{1711CE61-1FDC-489F-8D5C-8C0D58F3971C}" uniqueName="9" name="ID Filial" queryTableFieldId="9" dataDxfId="2"/>
    <tableColumn id="10" xr3:uid="{28880D4F-1237-4016-8CFC-AE5F70B645C9}" uniqueName="10" name="Data (Ano)" queryTableFieldId="10"/>
    <tableColumn id="11" xr3:uid="{420447D9-C69E-4E6A-BA8D-B0384219467D}" uniqueName="11" name="Data (Trimestre)" queryTableFieldId="11"/>
    <tableColumn id="12" xr3:uid="{36A8E053-B07C-4E3A-9D85-8D2D18E3F2A7}" uniqueName="12" name="Data (Índice de Mês)" queryTableFieldId="12"/>
    <tableColumn id="13" xr3:uid="{1C11B84C-3E80-409E-8939-DE9446D0481B}" uniqueName="13" name="Data (Mês)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C397C-31B0-45ED-9AFB-BD35D21C070D}">
  <dimension ref="A1:M688"/>
  <sheetViews>
    <sheetView tabSelected="1" workbookViewId="0">
      <selection activeCell="D19" sqref="D19"/>
    </sheetView>
  </sheetViews>
  <sheetFormatPr defaultRowHeight="14.4" x14ac:dyDescent="0.3"/>
  <cols>
    <col min="1" max="1" width="6.6640625" bestFit="1" customWidth="1"/>
    <col min="2" max="2" width="10.5546875" bestFit="1" customWidth="1"/>
    <col min="3" max="3" width="6.77734375" bestFit="1" customWidth="1"/>
    <col min="4" max="4" width="15" bestFit="1" customWidth="1"/>
    <col min="5" max="5" width="12.33203125" bestFit="1" customWidth="1"/>
    <col min="6" max="6" width="18.44140625" bestFit="1" customWidth="1"/>
    <col min="7" max="7" width="13.109375" bestFit="1" customWidth="1"/>
    <col min="8" max="8" width="8" bestFit="1" customWidth="1"/>
    <col min="9" max="9" width="9.109375" bestFit="1" customWidth="1"/>
    <col min="10" max="10" width="12.33203125" bestFit="1" customWidth="1"/>
    <col min="11" max="11" width="16.88671875" bestFit="1" customWidth="1"/>
    <col min="12" max="12" width="20.77734375" bestFit="1" customWidth="1"/>
    <col min="13" max="13" width="12.44140625" bestFit="1" customWidth="1"/>
  </cols>
  <sheetData>
    <row r="1" spans="1:13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62</v>
      </c>
      <c r="K1" t="s">
        <v>63</v>
      </c>
      <c r="L1" t="s">
        <v>64</v>
      </c>
      <c r="M1" t="s">
        <v>65</v>
      </c>
    </row>
    <row r="2" spans="1:13" x14ac:dyDescent="0.3">
      <c r="A2">
        <v>2022</v>
      </c>
      <c r="B2" s="50">
        <v>44615</v>
      </c>
      <c r="C2">
        <v>2</v>
      </c>
      <c r="D2" s="51" t="s">
        <v>18</v>
      </c>
      <c r="E2">
        <v>520</v>
      </c>
      <c r="F2" s="51" t="s">
        <v>19</v>
      </c>
      <c r="G2">
        <v>6</v>
      </c>
      <c r="H2">
        <v>24</v>
      </c>
      <c r="I2" s="51" t="s">
        <v>20</v>
      </c>
      <c r="J2" t="s">
        <v>66</v>
      </c>
      <c r="K2" t="s">
        <v>67</v>
      </c>
      <c r="L2">
        <v>2</v>
      </c>
      <c r="M2" t="s">
        <v>68</v>
      </c>
    </row>
    <row r="3" spans="1:13" x14ac:dyDescent="0.3">
      <c r="A3">
        <v>2022</v>
      </c>
      <c r="B3" s="50">
        <v>44616</v>
      </c>
      <c r="C3">
        <v>2</v>
      </c>
      <c r="D3" s="51" t="s">
        <v>18</v>
      </c>
      <c r="E3">
        <v>522</v>
      </c>
      <c r="F3" s="51" t="s">
        <v>21</v>
      </c>
      <c r="G3">
        <v>6</v>
      </c>
      <c r="H3">
        <v>24</v>
      </c>
      <c r="I3" s="51" t="s">
        <v>20</v>
      </c>
      <c r="J3" t="s">
        <v>66</v>
      </c>
      <c r="K3" t="s">
        <v>67</v>
      </c>
      <c r="L3">
        <v>2</v>
      </c>
      <c r="M3" t="s">
        <v>68</v>
      </c>
    </row>
    <row r="4" spans="1:13" x14ac:dyDescent="0.3">
      <c r="A4">
        <v>2022</v>
      </c>
      <c r="B4" s="50">
        <v>44644</v>
      </c>
      <c r="C4">
        <v>3</v>
      </c>
      <c r="D4" s="51" t="s">
        <v>22</v>
      </c>
      <c r="E4">
        <v>520</v>
      </c>
      <c r="F4" s="51" t="s">
        <v>19</v>
      </c>
      <c r="G4">
        <v>6</v>
      </c>
      <c r="H4">
        <v>24</v>
      </c>
      <c r="I4" s="51" t="s">
        <v>20</v>
      </c>
      <c r="J4" t="s">
        <v>66</v>
      </c>
      <c r="K4" t="s">
        <v>67</v>
      </c>
      <c r="L4">
        <v>3</v>
      </c>
      <c r="M4" t="s">
        <v>69</v>
      </c>
    </row>
    <row r="5" spans="1:13" x14ac:dyDescent="0.3">
      <c r="A5">
        <v>2022</v>
      </c>
      <c r="B5" s="50">
        <v>44646</v>
      </c>
      <c r="C5">
        <v>3</v>
      </c>
      <c r="D5" s="51" t="s">
        <v>22</v>
      </c>
      <c r="E5">
        <v>522</v>
      </c>
      <c r="F5" s="51" t="s">
        <v>21</v>
      </c>
      <c r="G5">
        <v>6</v>
      </c>
      <c r="H5">
        <v>24</v>
      </c>
      <c r="I5" s="51" t="s">
        <v>20</v>
      </c>
      <c r="J5" t="s">
        <v>66</v>
      </c>
      <c r="K5" t="s">
        <v>67</v>
      </c>
      <c r="L5">
        <v>3</v>
      </c>
      <c r="M5" t="s">
        <v>69</v>
      </c>
    </row>
    <row r="6" spans="1:13" x14ac:dyDescent="0.3">
      <c r="A6">
        <v>2022</v>
      </c>
      <c r="B6" s="50">
        <v>44650</v>
      </c>
      <c r="C6">
        <v>3</v>
      </c>
      <c r="D6" s="51" t="s">
        <v>22</v>
      </c>
      <c r="E6">
        <v>544</v>
      </c>
      <c r="F6" s="51" t="s">
        <v>23</v>
      </c>
      <c r="G6">
        <v>2</v>
      </c>
      <c r="H6">
        <v>24</v>
      </c>
      <c r="I6" s="51" t="s">
        <v>20</v>
      </c>
      <c r="J6" t="s">
        <v>66</v>
      </c>
      <c r="K6" t="s">
        <v>67</v>
      </c>
      <c r="L6">
        <v>3</v>
      </c>
      <c r="M6" t="s">
        <v>69</v>
      </c>
    </row>
    <row r="7" spans="1:13" x14ac:dyDescent="0.3">
      <c r="A7">
        <v>2022</v>
      </c>
      <c r="B7" s="50">
        <v>44655</v>
      </c>
      <c r="C7">
        <v>4</v>
      </c>
      <c r="D7" s="51" t="s">
        <v>24</v>
      </c>
      <c r="E7">
        <v>544</v>
      </c>
      <c r="F7" s="51" t="s">
        <v>23</v>
      </c>
      <c r="G7">
        <v>2</v>
      </c>
      <c r="H7">
        <v>24</v>
      </c>
      <c r="I7" s="51" t="s">
        <v>20</v>
      </c>
      <c r="J7" t="s">
        <v>66</v>
      </c>
      <c r="K7" t="s">
        <v>70</v>
      </c>
      <c r="L7">
        <v>4</v>
      </c>
      <c r="M7" t="s">
        <v>71</v>
      </c>
    </row>
    <row r="8" spans="1:13" x14ac:dyDescent="0.3">
      <c r="A8">
        <v>2022</v>
      </c>
      <c r="B8" s="50">
        <v>44657</v>
      </c>
      <c r="C8">
        <v>4</v>
      </c>
      <c r="D8" s="51" t="s">
        <v>24</v>
      </c>
      <c r="E8">
        <v>580</v>
      </c>
      <c r="F8" s="51" t="s">
        <v>25</v>
      </c>
      <c r="G8">
        <v>3</v>
      </c>
      <c r="H8">
        <v>24</v>
      </c>
      <c r="I8" s="51" t="s">
        <v>20</v>
      </c>
      <c r="J8" t="s">
        <v>66</v>
      </c>
      <c r="K8" t="s">
        <v>70</v>
      </c>
      <c r="L8">
        <v>4</v>
      </c>
      <c r="M8" t="s">
        <v>71</v>
      </c>
    </row>
    <row r="9" spans="1:13" x14ac:dyDescent="0.3">
      <c r="A9">
        <v>2022</v>
      </c>
      <c r="B9" s="50">
        <v>44671</v>
      </c>
      <c r="C9">
        <v>4</v>
      </c>
      <c r="D9" s="51" t="s">
        <v>24</v>
      </c>
      <c r="E9">
        <v>520</v>
      </c>
      <c r="F9" s="51" t="s">
        <v>19</v>
      </c>
      <c r="G9">
        <v>6</v>
      </c>
      <c r="H9">
        <v>24</v>
      </c>
      <c r="I9" s="51" t="s">
        <v>20</v>
      </c>
      <c r="J9" t="s">
        <v>66</v>
      </c>
      <c r="K9" t="s">
        <v>70</v>
      </c>
      <c r="L9">
        <v>4</v>
      </c>
      <c r="M9" t="s">
        <v>71</v>
      </c>
    </row>
    <row r="10" spans="1:13" x14ac:dyDescent="0.3">
      <c r="A10">
        <v>2022</v>
      </c>
      <c r="B10" s="50">
        <v>44673</v>
      </c>
      <c r="C10">
        <v>4</v>
      </c>
      <c r="D10" s="51" t="s">
        <v>24</v>
      </c>
      <c r="E10">
        <v>522</v>
      </c>
      <c r="F10" s="51" t="s">
        <v>21</v>
      </c>
      <c r="G10">
        <v>6</v>
      </c>
      <c r="H10">
        <v>24</v>
      </c>
      <c r="I10" s="51" t="s">
        <v>20</v>
      </c>
      <c r="J10" t="s">
        <v>66</v>
      </c>
      <c r="K10" t="s">
        <v>70</v>
      </c>
      <c r="L10">
        <v>4</v>
      </c>
      <c r="M10" t="s">
        <v>71</v>
      </c>
    </row>
    <row r="11" spans="1:13" x14ac:dyDescent="0.3">
      <c r="A11">
        <v>2022</v>
      </c>
      <c r="B11" s="50">
        <v>44685</v>
      </c>
      <c r="C11">
        <v>5</v>
      </c>
      <c r="D11" s="51" t="s">
        <v>26</v>
      </c>
      <c r="E11">
        <v>580</v>
      </c>
      <c r="F11" s="51" t="s">
        <v>25</v>
      </c>
      <c r="G11">
        <v>3</v>
      </c>
      <c r="H11">
        <v>24</v>
      </c>
      <c r="I11" s="51" t="s">
        <v>20</v>
      </c>
      <c r="J11" t="s">
        <v>66</v>
      </c>
      <c r="K11" t="s">
        <v>70</v>
      </c>
      <c r="L11">
        <v>5</v>
      </c>
      <c r="M11" t="s">
        <v>72</v>
      </c>
    </row>
    <row r="12" spans="1:13" x14ac:dyDescent="0.3">
      <c r="A12">
        <v>2022</v>
      </c>
      <c r="B12" s="50">
        <v>44701</v>
      </c>
      <c r="C12">
        <v>5</v>
      </c>
      <c r="D12" s="51" t="s">
        <v>26</v>
      </c>
      <c r="E12">
        <v>520</v>
      </c>
      <c r="F12" s="51" t="s">
        <v>19</v>
      </c>
      <c r="G12">
        <v>6</v>
      </c>
      <c r="H12">
        <v>24</v>
      </c>
      <c r="I12" s="51" t="s">
        <v>20</v>
      </c>
      <c r="J12" t="s">
        <v>66</v>
      </c>
      <c r="K12" t="s">
        <v>70</v>
      </c>
      <c r="L12">
        <v>5</v>
      </c>
      <c r="M12" t="s">
        <v>72</v>
      </c>
    </row>
    <row r="13" spans="1:13" x14ac:dyDescent="0.3">
      <c r="A13">
        <v>2022</v>
      </c>
      <c r="B13" s="50">
        <v>44704</v>
      </c>
      <c r="C13">
        <v>5</v>
      </c>
      <c r="D13" s="51" t="s">
        <v>26</v>
      </c>
      <c r="E13">
        <v>522</v>
      </c>
      <c r="F13" s="51" t="s">
        <v>21</v>
      </c>
      <c r="G13">
        <v>6</v>
      </c>
      <c r="H13">
        <v>24</v>
      </c>
      <c r="I13" s="51" t="s">
        <v>20</v>
      </c>
      <c r="J13" t="s">
        <v>66</v>
      </c>
      <c r="K13" t="s">
        <v>70</v>
      </c>
      <c r="L13">
        <v>5</v>
      </c>
      <c r="M13" t="s">
        <v>72</v>
      </c>
    </row>
    <row r="14" spans="1:13" x14ac:dyDescent="0.3">
      <c r="A14">
        <v>2022</v>
      </c>
      <c r="B14" s="50">
        <v>44708</v>
      </c>
      <c r="C14">
        <v>5</v>
      </c>
      <c r="D14" s="51" t="s">
        <v>26</v>
      </c>
      <c r="E14">
        <v>580</v>
      </c>
      <c r="F14" s="51" t="s">
        <v>25</v>
      </c>
      <c r="G14">
        <v>3</v>
      </c>
      <c r="H14">
        <v>24</v>
      </c>
      <c r="I14" s="51" t="s">
        <v>20</v>
      </c>
      <c r="J14" t="s">
        <v>66</v>
      </c>
      <c r="K14" t="s">
        <v>70</v>
      </c>
      <c r="L14">
        <v>5</v>
      </c>
      <c r="M14" t="s">
        <v>72</v>
      </c>
    </row>
    <row r="15" spans="1:13" x14ac:dyDescent="0.3">
      <c r="A15">
        <v>2022</v>
      </c>
      <c r="B15" s="50">
        <v>44713</v>
      </c>
      <c r="C15">
        <v>6</v>
      </c>
      <c r="D15" s="51" t="s">
        <v>27</v>
      </c>
      <c r="E15">
        <v>544</v>
      </c>
      <c r="F15" s="51" t="s">
        <v>23</v>
      </c>
      <c r="G15">
        <v>2</v>
      </c>
      <c r="H15">
        <v>24</v>
      </c>
      <c r="I15" s="51" t="s">
        <v>20</v>
      </c>
      <c r="J15" t="s">
        <v>66</v>
      </c>
      <c r="K15" t="s">
        <v>70</v>
      </c>
      <c r="L15">
        <v>6</v>
      </c>
      <c r="M15" t="s">
        <v>73</v>
      </c>
    </row>
    <row r="16" spans="1:13" x14ac:dyDescent="0.3">
      <c r="A16">
        <v>2022</v>
      </c>
      <c r="B16" s="50">
        <v>44718</v>
      </c>
      <c r="C16">
        <v>6</v>
      </c>
      <c r="D16" s="51" t="s">
        <v>27</v>
      </c>
      <c r="E16">
        <v>580</v>
      </c>
      <c r="F16" s="51" t="s">
        <v>25</v>
      </c>
      <c r="G16">
        <v>3</v>
      </c>
      <c r="H16">
        <v>24</v>
      </c>
      <c r="I16" s="51" t="s">
        <v>20</v>
      </c>
      <c r="J16" t="s">
        <v>66</v>
      </c>
      <c r="K16" t="s">
        <v>70</v>
      </c>
      <c r="L16">
        <v>6</v>
      </c>
      <c r="M16" t="s">
        <v>73</v>
      </c>
    </row>
    <row r="17" spans="1:13" x14ac:dyDescent="0.3">
      <c r="A17">
        <v>2022</v>
      </c>
      <c r="B17" s="50">
        <v>44736</v>
      </c>
      <c r="C17">
        <v>6</v>
      </c>
      <c r="D17" s="51" t="s">
        <v>27</v>
      </c>
      <c r="E17">
        <v>520</v>
      </c>
      <c r="F17" s="51" t="s">
        <v>19</v>
      </c>
      <c r="G17">
        <v>6</v>
      </c>
      <c r="H17">
        <v>24</v>
      </c>
      <c r="I17" s="51" t="s">
        <v>20</v>
      </c>
      <c r="J17" t="s">
        <v>66</v>
      </c>
      <c r="K17" t="s">
        <v>70</v>
      </c>
      <c r="L17">
        <v>6</v>
      </c>
      <c r="M17" t="s">
        <v>73</v>
      </c>
    </row>
    <row r="18" spans="1:13" x14ac:dyDescent="0.3">
      <c r="A18">
        <v>2022</v>
      </c>
      <c r="B18" s="50">
        <v>44739</v>
      </c>
      <c r="C18">
        <v>6</v>
      </c>
      <c r="D18" s="51" t="s">
        <v>27</v>
      </c>
      <c r="E18">
        <v>522</v>
      </c>
      <c r="F18" s="51" t="s">
        <v>21</v>
      </c>
      <c r="G18">
        <v>6</v>
      </c>
      <c r="H18">
        <v>24</v>
      </c>
      <c r="I18" s="51" t="s">
        <v>20</v>
      </c>
      <c r="J18" t="s">
        <v>66</v>
      </c>
      <c r="K18" t="s">
        <v>70</v>
      </c>
      <c r="L18">
        <v>6</v>
      </c>
      <c r="M18" t="s">
        <v>73</v>
      </c>
    </row>
    <row r="19" spans="1:13" x14ac:dyDescent="0.3">
      <c r="A19">
        <v>2022</v>
      </c>
      <c r="B19" s="50">
        <v>44742</v>
      </c>
      <c r="C19">
        <v>6</v>
      </c>
      <c r="D19" s="51" t="s">
        <v>27</v>
      </c>
      <c r="E19">
        <v>544</v>
      </c>
      <c r="F19" s="51" t="s">
        <v>23</v>
      </c>
      <c r="G19">
        <v>2</v>
      </c>
      <c r="H19">
        <v>24</v>
      </c>
      <c r="I19" s="51" t="s">
        <v>20</v>
      </c>
      <c r="J19" t="s">
        <v>66</v>
      </c>
      <c r="K19" t="s">
        <v>70</v>
      </c>
      <c r="L19">
        <v>6</v>
      </c>
      <c r="M19" t="s">
        <v>73</v>
      </c>
    </row>
    <row r="20" spans="1:13" x14ac:dyDescent="0.3">
      <c r="A20">
        <v>2022</v>
      </c>
      <c r="B20" s="50">
        <v>44745</v>
      </c>
      <c r="C20">
        <v>7</v>
      </c>
      <c r="D20" s="51" t="s">
        <v>28</v>
      </c>
      <c r="E20">
        <v>544</v>
      </c>
      <c r="F20" s="51" t="s">
        <v>23</v>
      </c>
      <c r="G20">
        <v>2</v>
      </c>
      <c r="H20">
        <v>24</v>
      </c>
      <c r="I20" s="51" t="s">
        <v>20</v>
      </c>
      <c r="J20" t="s">
        <v>66</v>
      </c>
      <c r="K20" t="s">
        <v>74</v>
      </c>
      <c r="L20">
        <v>7</v>
      </c>
      <c r="M20" t="s">
        <v>75</v>
      </c>
    </row>
    <row r="21" spans="1:13" x14ac:dyDescent="0.3">
      <c r="A21">
        <v>2022</v>
      </c>
      <c r="B21" s="50">
        <v>44747</v>
      </c>
      <c r="C21">
        <v>7</v>
      </c>
      <c r="D21" s="51" t="s">
        <v>28</v>
      </c>
      <c r="E21">
        <v>580</v>
      </c>
      <c r="F21" s="51" t="s">
        <v>25</v>
      </c>
      <c r="G21">
        <v>3</v>
      </c>
      <c r="H21">
        <v>24</v>
      </c>
      <c r="I21" s="51" t="s">
        <v>20</v>
      </c>
      <c r="J21" t="s">
        <v>66</v>
      </c>
      <c r="K21" t="s">
        <v>74</v>
      </c>
      <c r="L21">
        <v>7</v>
      </c>
      <c r="M21" t="s">
        <v>75</v>
      </c>
    </row>
    <row r="22" spans="1:13" x14ac:dyDescent="0.3">
      <c r="A22">
        <v>2022</v>
      </c>
      <c r="B22" s="50">
        <v>44766</v>
      </c>
      <c r="C22">
        <v>7</v>
      </c>
      <c r="D22" s="51" t="s">
        <v>28</v>
      </c>
      <c r="E22">
        <v>520</v>
      </c>
      <c r="F22" s="51" t="s">
        <v>19</v>
      </c>
      <c r="G22">
        <v>6</v>
      </c>
      <c r="H22">
        <v>24</v>
      </c>
      <c r="I22" s="51" t="s">
        <v>20</v>
      </c>
      <c r="J22" t="s">
        <v>66</v>
      </c>
      <c r="K22" t="s">
        <v>74</v>
      </c>
      <c r="L22">
        <v>7</v>
      </c>
      <c r="M22" t="s">
        <v>75</v>
      </c>
    </row>
    <row r="23" spans="1:13" x14ac:dyDescent="0.3">
      <c r="A23">
        <v>2022</v>
      </c>
      <c r="B23" s="50">
        <v>44768</v>
      </c>
      <c r="C23">
        <v>7</v>
      </c>
      <c r="D23" s="51" t="s">
        <v>28</v>
      </c>
      <c r="E23">
        <v>522</v>
      </c>
      <c r="F23" s="51" t="s">
        <v>21</v>
      </c>
      <c r="G23">
        <v>6</v>
      </c>
      <c r="H23">
        <v>24</v>
      </c>
      <c r="I23" s="51" t="s">
        <v>20</v>
      </c>
      <c r="J23" t="s">
        <v>66</v>
      </c>
      <c r="K23" t="s">
        <v>74</v>
      </c>
      <c r="L23">
        <v>7</v>
      </c>
      <c r="M23" t="s">
        <v>75</v>
      </c>
    </row>
    <row r="24" spans="1:13" x14ac:dyDescent="0.3">
      <c r="A24">
        <v>2022</v>
      </c>
      <c r="B24" s="50">
        <v>44771</v>
      </c>
      <c r="C24">
        <v>7</v>
      </c>
      <c r="D24" s="51" t="s">
        <v>28</v>
      </c>
      <c r="E24">
        <v>544</v>
      </c>
      <c r="F24" s="51" t="s">
        <v>23</v>
      </c>
      <c r="G24">
        <v>2</v>
      </c>
      <c r="H24">
        <v>24</v>
      </c>
      <c r="I24" s="51" t="s">
        <v>20</v>
      </c>
      <c r="J24" t="s">
        <v>66</v>
      </c>
      <c r="K24" t="s">
        <v>74</v>
      </c>
      <c r="L24">
        <v>7</v>
      </c>
      <c r="M24" t="s">
        <v>75</v>
      </c>
    </row>
    <row r="25" spans="1:13" x14ac:dyDescent="0.3">
      <c r="A25">
        <v>2022</v>
      </c>
      <c r="B25" s="50">
        <v>44771</v>
      </c>
      <c r="C25">
        <v>7</v>
      </c>
      <c r="D25" s="51" t="s">
        <v>28</v>
      </c>
      <c r="E25">
        <v>580</v>
      </c>
      <c r="F25" s="51" t="s">
        <v>25</v>
      </c>
      <c r="G25">
        <v>3</v>
      </c>
      <c r="H25">
        <v>24</v>
      </c>
      <c r="I25" s="51" t="s">
        <v>20</v>
      </c>
      <c r="J25" t="s">
        <v>66</v>
      </c>
      <c r="K25" t="s">
        <v>74</v>
      </c>
      <c r="L25">
        <v>7</v>
      </c>
      <c r="M25" t="s">
        <v>75</v>
      </c>
    </row>
    <row r="26" spans="1:13" x14ac:dyDescent="0.3">
      <c r="A26">
        <v>2022</v>
      </c>
      <c r="B26" s="50">
        <v>44774</v>
      </c>
      <c r="C26">
        <v>8</v>
      </c>
      <c r="D26" s="51" t="s">
        <v>29</v>
      </c>
      <c r="E26">
        <v>544</v>
      </c>
      <c r="F26" s="51" t="s">
        <v>23</v>
      </c>
      <c r="G26">
        <v>2</v>
      </c>
      <c r="H26">
        <v>24</v>
      </c>
      <c r="I26" s="51" t="s">
        <v>20</v>
      </c>
      <c r="J26" t="s">
        <v>66</v>
      </c>
      <c r="K26" t="s">
        <v>74</v>
      </c>
      <c r="L26">
        <v>8</v>
      </c>
      <c r="M26" t="s">
        <v>76</v>
      </c>
    </row>
    <row r="27" spans="1:13" x14ac:dyDescent="0.3">
      <c r="A27">
        <v>2022</v>
      </c>
      <c r="B27" s="50">
        <v>44776</v>
      </c>
      <c r="C27">
        <v>8</v>
      </c>
      <c r="D27" s="51" t="s">
        <v>29</v>
      </c>
      <c r="E27">
        <v>580</v>
      </c>
      <c r="F27" s="51" t="s">
        <v>25</v>
      </c>
      <c r="G27">
        <v>3</v>
      </c>
      <c r="H27">
        <v>24</v>
      </c>
      <c r="I27" s="51" t="s">
        <v>20</v>
      </c>
      <c r="J27" t="s">
        <v>66</v>
      </c>
      <c r="K27" t="s">
        <v>74</v>
      </c>
      <c r="L27">
        <v>8</v>
      </c>
      <c r="M27" t="s">
        <v>76</v>
      </c>
    </row>
    <row r="28" spans="1:13" x14ac:dyDescent="0.3">
      <c r="A28">
        <v>2022</v>
      </c>
      <c r="B28" s="50">
        <v>44795</v>
      </c>
      <c r="C28">
        <v>8</v>
      </c>
      <c r="D28" s="51" t="s">
        <v>29</v>
      </c>
      <c r="E28">
        <v>520</v>
      </c>
      <c r="F28" s="51" t="s">
        <v>19</v>
      </c>
      <c r="G28">
        <v>6</v>
      </c>
      <c r="H28">
        <v>24</v>
      </c>
      <c r="I28" s="51" t="s">
        <v>20</v>
      </c>
      <c r="J28" t="s">
        <v>66</v>
      </c>
      <c r="K28" t="s">
        <v>74</v>
      </c>
      <c r="L28">
        <v>8</v>
      </c>
      <c r="M28" t="s">
        <v>76</v>
      </c>
    </row>
    <row r="29" spans="1:13" x14ac:dyDescent="0.3">
      <c r="A29">
        <v>2022</v>
      </c>
      <c r="B29" s="50">
        <v>44796</v>
      </c>
      <c r="C29">
        <v>8</v>
      </c>
      <c r="D29" s="51" t="s">
        <v>29</v>
      </c>
      <c r="E29">
        <v>544</v>
      </c>
      <c r="F29" s="51" t="s">
        <v>23</v>
      </c>
      <c r="G29">
        <v>2</v>
      </c>
      <c r="H29">
        <v>24</v>
      </c>
      <c r="I29" s="51" t="s">
        <v>20</v>
      </c>
      <c r="J29" t="s">
        <v>66</v>
      </c>
      <c r="K29" t="s">
        <v>74</v>
      </c>
      <c r="L29">
        <v>8</v>
      </c>
      <c r="M29" t="s">
        <v>76</v>
      </c>
    </row>
    <row r="30" spans="1:13" x14ac:dyDescent="0.3">
      <c r="A30">
        <v>2022</v>
      </c>
      <c r="B30" s="50">
        <v>44796</v>
      </c>
      <c r="C30">
        <v>8</v>
      </c>
      <c r="D30" s="51" t="s">
        <v>29</v>
      </c>
      <c r="E30">
        <v>580</v>
      </c>
      <c r="F30" s="51" t="s">
        <v>25</v>
      </c>
      <c r="G30">
        <v>3</v>
      </c>
      <c r="H30">
        <v>24</v>
      </c>
      <c r="I30" s="51" t="s">
        <v>20</v>
      </c>
      <c r="J30" t="s">
        <v>66</v>
      </c>
      <c r="K30" t="s">
        <v>74</v>
      </c>
      <c r="L30">
        <v>8</v>
      </c>
      <c r="M30" t="s">
        <v>76</v>
      </c>
    </row>
    <row r="31" spans="1:13" x14ac:dyDescent="0.3">
      <c r="A31">
        <v>2022</v>
      </c>
      <c r="B31" s="50">
        <v>44797</v>
      </c>
      <c r="C31">
        <v>8</v>
      </c>
      <c r="D31" s="51" t="s">
        <v>29</v>
      </c>
      <c r="E31">
        <v>522</v>
      </c>
      <c r="F31" s="51" t="s">
        <v>21</v>
      </c>
      <c r="G31">
        <v>6</v>
      </c>
      <c r="H31">
        <v>24</v>
      </c>
      <c r="I31" s="51" t="s">
        <v>20</v>
      </c>
      <c r="J31" t="s">
        <v>66</v>
      </c>
      <c r="K31" t="s">
        <v>74</v>
      </c>
      <c r="L31">
        <v>8</v>
      </c>
      <c r="M31" t="s">
        <v>76</v>
      </c>
    </row>
    <row r="32" spans="1:13" x14ac:dyDescent="0.3">
      <c r="A32">
        <v>2022</v>
      </c>
      <c r="B32" s="50">
        <v>44811</v>
      </c>
      <c r="C32">
        <v>9</v>
      </c>
      <c r="D32" s="51" t="s">
        <v>30</v>
      </c>
      <c r="E32">
        <v>580</v>
      </c>
      <c r="F32" s="51" t="s">
        <v>25</v>
      </c>
      <c r="G32">
        <v>3</v>
      </c>
      <c r="H32">
        <v>24</v>
      </c>
      <c r="I32" s="51" t="s">
        <v>20</v>
      </c>
      <c r="J32" t="s">
        <v>66</v>
      </c>
      <c r="K32" t="s">
        <v>74</v>
      </c>
      <c r="L32">
        <v>9</v>
      </c>
      <c r="M32" t="s">
        <v>77</v>
      </c>
    </row>
    <row r="33" spans="1:13" x14ac:dyDescent="0.3">
      <c r="A33">
        <v>2022</v>
      </c>
      <c r="B33" s="50">
        <v>44830</v>
      </c>
      <c r="C33">
        <v>9</v>
      </c>
      <c r="D33" s="51" t="s">
        <v>30</v>
      </c>
      <c r="E33">
        <v>520</v>
      </c>
      <c r="F33" s="51" t="s">
        <v>19</v>
      </c>
      <c r="G33">
        <v>6</v>
      </c>
      <c r="H33">
        <v>24</v>
      </c>
      <c r="I33" s="51" t="s">
        <v>20</v>
      </c>
      <c r="J33" t="s">
        <v>66</v>
      </c>
      <c r="K33" t="s">
        <v>74</v>
      </c>
      <c r="L33">
        <v>9</v>
      </c>
      <c r="M33" t="s">
        <v>77</v>
      </c>
    </row>
    <row r="34" spans="1:13" x14ac:dyDescent="0.3">
      <c r="A34">
        <v>2022</v>
      </c>
      <c r="B34" s="50">
        <v>44832</v>
      </c>
      <c r="C34">
        <v>9</v>
      </c>
      <c r="D34" s="51" t="s">
        <v>30</v>
      </c>
      <c r="E34">
        <v>522</v>
      </c>
      <c r="F34" s="51" t="s">
        <v>21</v>
      </c>
      <c r="G34">
        <v>6</v>
      </c>
      <c r="H34">
        <v>24</v>
      </c>
      <c r="I34" s="51" t="s">
        <v>20</v>
      </c>
      <c r="J34" t="s">
        <v>66</v>
      </c>
      <c r="K34" t="s">
        <v>74</v>
      </c>
      <c r="L34">
        <v>9</v>
      </c>
      <c r="M34" t="s">
        <v>77</v>
      </c>
    </row>
    <row r="35" spans="1:13" x14ac:dyDescent="0.3">
      <c r="A35">
        <v>2022</v>
      </c>
      <c r="B35" s="50">
        <v>44858</v>
      </c>
      <c r="C35">
        <v>10</v>
      </c>
      <c r="D35" s="51" t="s">
        <v>31</v>
      </c>
      <c r="E35">
        <v>520</v>
      </c>
      <c r="F35" s="51" t="s">
        <v>19</v>
      </c>
      <c r="G35">
        <v>6</v>
      </c>
      <c r="H35">
        <v>24</v>
      </c>
      <c r="I35" s="51" t="s">
        <v>20</v>
      </c>
      <c r="J35" t="s">
        <v>66</v>
      </c>
      <c r="K35" t="s">
        <v>78</v>
      </c>
      <c r="L35">
        <v>10</v>
      </c>
      <c r="M35" t="s">
        <v>79</v>
      </c>
    </row>
    <row r="36" spans="1:13" x14ac:dyDescent="0.3">
      <c r="A36">
        <v>2022</v>
      </c>
      <c r="B36" s="50">
        <v>44860</v>
      </c>
      <c r="C36">
        <v>10</v>
      </c>
      <c r="D36" s="51" t="s">
        <v>31</v>
      </c>
      <c r="E36">
        <v>522</v>
      </c>
      <c r="F36" s="51" t="s">
        <v>21</v>
      </c>
      <c r="G36">
        <v>6</v>
      </c>
      <c r="H36">
        <v>24</v>
      </c>
      <c r="I36" s="51" t="s">
        <v>20</v>
      </c>
      <c r="J36" t="s">
        <v>66</v>
      </c>
      <c r="K36" t="s">
        <v>78</v>
      </c>
      <c r="L36">
        <v>10</v>
      </c>
      <c r="M36" t="s">
        <v>79</v>
      </c>
    </row>
    <row r="37" spans="1:13" x14ac:dyDescent="0.3">
      <c r="A37">
        <v>2022</v>
      </c>
      <c r="B37" s="50">
        <v>44888</v>
      </c>
      <c r="C37">
        <v>11</v>
      </c>
      <c r="D37" s="51" t="s">
        <v>32</v>
      </c>
      <c r="E37">
        <v>520</v>
      </c>
      <c r="F37" s="51" t="s">
        <v>19</v>
      </c>
      <c r="G37">
        <v>6</v>
      </c>
      <c r="H37">
        <v>24</v>
      </c>
      <c r="I37" s="51" t="s">
        <v>20</v>
      </c>
      <c r="J37" t="s">
        <v>66</v>
      </c>
      <c r="K37" t="s">
        <v>78</v>
      </c>
      <c r="L37">
        <v>11</v>
      </c>
      <c r="M37" t="s">
        <v>80</v>
      </c>
    </row>
    <row r="38" spans="1:13" x14ac:dyDescent="0.3">
      <c r="A38">
        <v>2022</v>
      </c>
      <c r="B38" s="50">
        <v>44890</v>
      </c>
      <c r="C38">
        <v>11</v>
      </c>
      <c r="D38" s="51" t="s">
        <v>32</v>
      </c>
      <c r="E38">
        <v>522</v>
      </c>
      <c r="F38" s="51" t="s">
        <v>21</v>
      </c>
      <c r="G38">
        <v>6</v>
      </c>
      <c r="H38">
        <v>24</v>
      </c>
      <c r="I38" s="51" t="s">
        <v>20</v>
      </c>
      <c r="J38" t="s">
        <v>66</v>
      </c>
      <c r="K38" t="s">
        <v>78</v>
      </c>
      <c r="L38">
        <v>11</v>
      </c>
      <c r="M38" t="s">
        <v>80</v>
      </c>
    </row>
    <row r="39" spans="1:13" x14ac:dyDescent="0.3">
      <c r="A39">
        <v>2022</v>
      </c>
      <c r="B39" s="50">
        <v>44894</v>
      </c>
      <c r="C39">
        <v>11</v>
      </c>
      <c r="D39" s="51" t="s">
        <v>32</v>
      </c>
      <c r="E39">
        <v>520</v>
      </c>
      <c r="F39" s="51" t="s">
        <v>19</v>
      </c>
      <c r="G39">
        <v>6</v>
      </c>
      <c r="H39">
        <v>24</v>
      </c>
      <c r="I39" s="51" t="s">
        <v>20</v>
      </c>
      <c r="J39" t="s">
        <v>66</v>
      </c>
      <c r="K39" t="s">
        <v>78</v>
      </c>
      <c r="L39">
        <v>11</v>
      </c>
      <c r="M39" t="s">
        <v>80</v>
      </c>
    </row>
    <row r="40" spans="1:13" x14ac:dyDescent="0.3">
      <c r="A40">
        <v>2022</v>
      </c>
      <c r="B40" s="50">
        <v>44894</v>
      </c>
      <c r="C40">
        <v>11</v>
      </c>
      <c r="D40" s="51" t="s">
        <v>32</v>
      </c>
      <c r="E40">
        <v>522</v>
      </c>
      <c r="F40" s="51" t="s">
        <v>21</v>
      </c>
      <c r="G40">
        <v>6</v>
      </c>
      <c r="H40">
        <v>24</v>
      </c>
      <c r="I40" s="51" t="s">
        <v>20</v>
      </c>
      <c r="J40" t="s">
        <v>66</v>
      </c>
      <c r="K40" t="s">
        <v>78</v>
      </c>
      <c r="L40">
        <v>11</v>
      </c>
      <c r="M40" t="s">
        <v>80</v>
      </c>
    </row>
    <row r="41" spans="1:13" x14ac:dyDescent="0.3">
      <c r="A41">
        <v>2022</v>
      </c>
      <c r="B41" s="50">
        <v>44914</v>
      </c>
      <c r="C41">
        <v>12</v>
      </c>
      <c r="D41" s="51" t="s">
        <v>33</v>
      </c>
      <c r="E41">
        <v>520</v>
      </c>
      <c r="F41" s="51" t="s">
        <v>19</v>
      </c>
      <c r="G41">
        <v>6</v>
      </c>
      <c r="H41">
        <v>24</v>
      </c>
      <c r="I41" s="51" t="s">
        <v>20</v>
      </c>
      <c r="J41" t="s">
        <v>66</v>
      </c>
      <c r="K41" t="s">
        <v>78</v>
      </c>
      <c r="L41">
        <v>12</v>
      </c>
      <c r="M41" t="s">
        <v>81</v>
      </c>
    </row>
    <row r="42" spans="1:13" x14ac:dyDescent="0.3">
      <c r="A42">
        <v>2022</v>
      </c>
      <c r="B42" s="50">
        <v>44916</v>
      </c>
      <c r="C42">
        <v>12</v>
      </c>
      <c r="D42" s="51" t="s">
        <v>33</v>
      </c>
      <c r="E42">
        <v>522</v>
      </c>
      <c r="F42" s="51" t="s">
        <v>21</v>
      </c>
      <c r="G42">
        <v>6</v>
      </c>
      <c r="H42">
        <v>24</v>
      </c>
      <c r="I42" s="51" t="s">
        <v>20</v>
      </c>
      <c r="J42" t="s">
        <v>66</v>
      </c>
      <c r="K42" t="s">
        <v>78</v>
      </c>
      <c r="L42">
        <v>12</v>
      </c>
      <c r="M42" t="s">
        <v>81</v>
      </c>
    </row>
    <row r="43" spans="1:13" x14ac:dyDescent="0.3">
      <c r="A43">
        <v>2022</v>
      </c>
      <c r="B43" s="50">
        <v>44575</v>
      </c>
      <c r="C43">
        <v>1</v>
      </c>
      <c r="D43" s="51" t="s">
        <v>34</v>
      </c>
      <c r="E43">
        <v>518</v>
      </c>
      <c r="F43" s="51" t="s">
        <v>35</v>
      </c>
      <c r="G43">
        <v>6</v>
      </c>
      <c r="H43">
        <v>24</v>
      </c>
      <c r="I43" s="51" t="s">
        <v>36</v>
      </c>
      <c r="J43" t="s">
        <v>66</v>
      </c>
      <c r="K43" t="s">
        <v>67</v>
      </c>
      <c r="L43">
        <v>1</v>
      </c>
      <c r="M43" t="s">
        <v>82</v>
      </c>
    </row>
    <row r="44" spans="1:13" x14ac:dyDescent="0.3">
      <c r="A44">
        <v>2022</v>
      </c>
      <c r="B44" s="50">
        <v>44601</v>
      </c>
      <c r="C44">
        <v>2</v>
      </c>
      <c r="D44" s="51" t="s">
        <v>18</v>
      </c>
      <c r="E44">
        <v>548</v>
      </c>
      <c r="F44" s="51" t="s">
        <v>37</v>
      </c>
      <c r="G44">
        <v>12</v>
      </c>
      <c r="H44">
        <v>24</v>
      </c>
      <c r="I44" s="51" t="s">
        <v>36</v>
      </c>
      <c r="J44" t="s">
        <v>66</v>
      </c>
      <c r="K44" t="s">
        <v>67</v>
      </c>
      <c r="L44">
        <v>2</v>
      </c>
      <c r="M44" t="s">
        <v>68</v>
      </c>
    </row>
    <row r="45" spans="1:13" x14ac:dyDescent="0.3">
      <c r="A45">
        <v>2022</v>
      </c>
      <c r="B45" s="50">
        <v>44613</v>
      </c>
      <c r="C45">
        <v>2</v>
      </c>
      <c r="D45" s="51" t="s">
        <v>18</v>
      </c>
      <c r="E45">
        <v>518</v>
      </c>
      <c r="F45" s="51" t="s">
        <v>35</v>
      </c>
      <c r="G45">
        <v>6</v>
      </c>
      <c r="H45">
        <v>24</v>
      </c>
      <c r="I45" s="51" t="s">
        <v>36</v>
      </c>
      <c r="J45" t="s">
        <v>66</v>
      </c>
      <c r="K45" t="s">
        <v>67</v>
      </c>
      <c r="L45">
        <v>2</v>
      </c>
      <c r="M45" t="s">
        <v>68</v>
      </c>
    </row>
    <row r="46" spans="1:13" x14ac:dyDescent="0.3">
      <c r="A46">
        <v>2022</v>
      </c>
      <c r="B46" s="50">
        <v>44644</v>
      </c>
      <c r="C46">
        <v>3</v>
      </c>
      <c r="D46" s="51" t="s">
        <v>22</v>
      </c>
      <c r="E46">
        <v>520</v>
      </c>
      <c r="F46" s="51" t="s">
        <v>19</v>
      </c>
      <c r="G46">
        <v>6</v>
      </c>
      <c r="H46">
        <v>24</v>
      </c>
      <c r="I46" s="51" t="s">
        <v>36</v>
      </c>
      <c r="J46" t="s">
        <v>66</v>
      </c>
      <c r="K46" t="s">
        <v>67</v>
      </c>
      <c r="L46">
        <v>3</v>
      </c>
      <c r="M46" t="s">
        <v>69</v>
      </c>
    </row>
    <row r="47" spans="1:13" x14ac:dyDescent="0.3">
      <c r="A47">
        <v>2022</v>
      </c>
      <c r="B47" s="50">
        <v>44646</v>
      </c>
      <c r="C47">
        <v>3</v>
      </c>
      <c r="D47" s="51" t="s">
        <v>22</v>
      </c>
      <c r="E47">
        <v>522</v>
      </c>
      <c r="F47" s="51" t="s">
        <v>21</v>
      </c>
      <c r="G47">
        <v>6</v>
      </c>
      <c r="H47">
        <v>24</v>
      </c>
      <c r="I47" s="51" t="s">
        <v>36</v>
      </c>
      <c r="J47" t="s">
        <v>66</v>
      </c>
      <c r="K47" t="s">
        <v>67</v>
      </c>
      <c r="L47">
        <v>3</v>
      </c>
      <c r="M47" t="s">
        <v>69</v>
      </c>
    </row>
    <row r="48" spans="1:13" x14ac:dyDescent="0.3">
      <c r="A48">
        <v>2022</v>
      </c>
      <c r="B48" s="50">
        <v>44659</v>
      </c>
      <c r="C48">
        <v>4</v>
      </c>
      <c r="D48" s="51" t="s">
        <v>24</v>
      </c>
      <c r="E48">
        <v>548</v>
      </c>
      <c r="F48" s="51" t="s">
        <v>37</v>
      </c>
      <c r="G48">
        <v>12</v>
      </c>
      <c r="H48">
        <v>24</v>
      </c>
      <c r="I48" s="51" t="s">
        <v>36</v>
      </c>
      <c r="J48" t="s">
        <v>66</v>
      </c>
      <c r="K48" t="s">
        <v>70</v>
      </c>
      <c r="L48">
        <v>4</v>
      </c>
      <c r="M48" t="s">
        <v>71</v>
      </c>
    </row>
    <row r="49" spans="1:13" x14ac:dyDescent="0.3">
      <c r="A49">
        <v>2022</v>
      </c>
      <c r="B49" s="50">
        <v>44671</v>
      </c>
      <c r="C49">
        <v>4</v>
      </c>
      <c r="D49" s="51" t="s">
        <v>24</v>
      </c>
      <c r="E49">
        <v>520</v>
      </c>
      <c r="F49" s="51" t="s">
        <v>19</v>
      </c>
      <c r="G49">
        <v>6</v>
      </c>
      <c r="H49">
        <v>24</v>
      </c>
      <c r="I49" s="51" t="s">
        <v>36</v>
      </c>
      <c r="J49" t="s">
        <v>66</v>
      </c>
      <c r="K49" t="s">
        <v>70</v>
      </c>
      <c r="L49">
        <v>4</v>
      </c>
      <c r="M49" t="s">
        <v>71</v>
      </c>
    </row>
    <row r="50" spans="1:13" x14ac:dyDescent="0.3">
      <c r="A50">
        <v>2022</v>
      </c>
      <c r="B50" s="50">
        <v>44673</v>
      </c>
      <c r="C50">
        <v>4</v>
      </c>
      <c r="D50" s="51" t="s">
        <v>24</v>
      </c>
      <c r="E50">
        <v>522</v>
      </c>
      <c r="F50" s="51" t="s">
        <v>21</v>
      </c>
      <c r="G50">
        <v>6</v>
      </c>
      <c r="H50">
        <v>24</v>
      </c>
      <c r="I50" s="51" t="s">
        <v>36</v>
      </c>
      <c r="J50" t="s">
        <v>66</v>
      </c>
      <c r="K50" t="s">
        <v>70</v>
      </c>
      <c r="L50">
        <v>4</v>
      </c>
      <c r="M50" t="s">
        <v>71</v>
      </c>
    </row>
    <row r="51" spans="1:13" x14ac:dyDescent="0.3">
      <c r="A51">
        <v>2022</v>
      </c>
      <c r="B51" s="50">
        <v>44701</v>
      </c>
      <c r="C51">
        <v>5</v>
      </c>
      <c r="D51" s="51" t="s">
        <v>26</v>
      </c>
      <c r="E51">
        <v>520</v>
      </c>
      <c r="F51" s="51" t="s">
        <v>19</v>
      </c>
      <c r="G51">
        <v>6</v>
      </c>
      <c r="H51">
        <v>24</v>
      </c>
      <c r="I51" s="51" t="s">
        <v>36</v>
      </c>
      <c r="J51" t="s">
        <v>66</v>
      </c>
      <c r="K51" t="s">
        <v>70</v>
      </c>
      <c r="L51">
        <v>5</v>
      </c>
      <c r="M51" t="s">
        <v>72</v>
      </c>
    </row>
    <row r="52" spans="1:13" x14ac:dyDescent="0.3">
      <c r="A52">
        <v>2022</v>
      </c>
      <c r="B52" s="50">
        <v>44704</v>
      </c>
      <c r="C52">
        <v>5</v>
      </c>
      <c r="D52" s="51" t="s">
        <v>26</v>
      </c>
      <c r="E52">
        <v>522</v>
      </c>
      <c r="F52" s="51" t="s">
        <v>21</v>
      </c>
      <c r="G52">
        <v>6</v>
      </c>
      <c r="H52">
        <v>24</v>
      </c>
      <c r="I52" s="51" t="s">
        <v>36</v>
      </c>
      <c r="J52" t="s">
        <v>66</v>
      </c>
      <c r="K52" t="s">
        <v>70</v>
      </c>
      <c r="L52">
        <v>5</v>
      </c>
      <c r="M52" t="s">
        <v>72</v>
      </c>
    </row>
    <row r="53" spans="1:13" x14ac:dyDescent="0.3">
      <c r="A53">
        <v>2022</v>
      </c>
      <c r="B53" s="50">
        <v>44736</v>
      </c>
      <c r="C53">
        <v>6</v>
      </c>
      <c r="D53" s="51" t="s">
        <v>27</v>
      </c>
      <c r="E53">
        <v>520</v>
      </c>
      <c r="F53" s="51" t="s">
        <v>19</v>
      </c>
      <c r="G53">
        <v>6</v>
      </c>
      <c r="H53">
        <v>24</v>
      </c>
      <c r="I53" s="51" t="s">
        <v>36</v>
      </c>
      <c r="J53" t="s">
        <v>66</v>
      </c>
      <c r="K53" t="s">
        <v>70</v>
      </c>
      <c r="L53">
        <v>6</v>
      </c>
      <c r="M53" t="s">
        <v>73</v>
      </c>
    </row>
    <row r="54" spans="1:13" x14ac:dyDescent="0.3">
      <c r="A54">
        <v>2022</v>
      </c>
      <c r="B54" s="50">
        <v>44739</v>
      </c>
      <c r="C54">
        <v>6</v>
      </c>
      <c r="D54" s="51" t="s">
        <v>27</v>
      </c>
      <c r="E54">
        <v>522</v>
      </c>
      <c r="F54" s="51" t="s">
        <v>21</v>
      </c>
      <c r="G54">
        <v>6</v>
      </c>
      <c r="H54">
        <v>24</v>
      </c>
      <c r="I54" s="51" t="s">
        <v>36</v>
      </c>
      <c r="J54" t="s">
        <v>66</v>
      </c>
      <c r="K54" t="s">
        <v>70</v>
      </c>
      <c r="L54">
        <v>6</v>
      </c>
      <c r="M54" t="s">
        <v>73</v>
      </c>
    </row>
    <row r="55" spans="1:13" x14ac:dyDescent="0.3">
      <c r="A55">
        <v>2022</v>
      </c>
      <c r="B55" s="50">
        <v>44766</v>
      </c>
      <c r="C55">
        <v>7</v>
      </c>
      <c r="D55" s="51" t="s">
        <v>28</v>
      </c>
      <c r="E55">
        <v>520</v>
      </c>
      <c r="F55" s="51" t="s">
        <v>19</v>
      </c>
      <c r="G55">
        <v>6</v>
      </c>
      <c r="H55">
        <v>24</v>
      </c>
      <c r="I55" s="51" t="s">
        <v>36</v>
      </c>
      <c r="J55" t="s">
        <v>66</v>
      </c>
      <c r="K55" t="s">
        <v>74</v>
      </c>
      <c r="L55">
        <v>7</v>
      </c>
      <c r="M55" t="s">
        <v>75</v>
      </c>
    </row>
    <row r="56" spans="1:13" x14ac:dyDescent="0.3">
      <c r="A56">
        <v>2022</v>
      </c>
      <c r="B56" s="50">
        <v>44768</v>
      </c>
      <c r="C56">
        <v>7</v>
      </c>
      <c r="D56" s="51" t="s">
        <v>28</v>
      </c>
      <c r="E56">
        <v>522</v>
      </c>
      <c r="F56" s="51" t="s">
        <v>21</v>
      </c>
      <c r="G56">
        <v>6</v>
      </c>
      <c r="H56">
        <v>24</v>
      </c>
      <c r="I56" s="51" t="s">
        <v>36</v>
      </c>
      <c r="J56" t="s">
        <v>66</v>
      </c>
      <c r="K56" t="s">
        <v>74</v>
      </c>
      <c r="L56">
        <v>7</v>
      </c>
      <c r="M56" t="s">
        <v>75</v>
      </c>
    </row>
    <row r="57" spans="1:13" x14ac:dyDescent="0.3">
      <c r="A57">
        <v>2022</v>
      </c>
      <c r="B57" s="50">
        <v>44795</v>
      </c>
      <c r="C57">
        <v>8</v>
      </c>
      <c r="D57" s="51" t="s">
        <v>29</v>
      </c>
      <c r="E57">
        <v>520</v>
      </c>
      <c r="F57" s="51" t="s">
        <v>19</v>
      </c>
      <c r="G57">
        <v>6</v>
      </c>
      <c r="H57">
        <v>24</v>
      </c>
      <c r="I57" s="51" t="s">
        <v>36</v>
      </c>
      <c r="J57" t="s">
        <v>66</v>
      </c>
      <c r="K57" t="s">
        <v>74</v>
      </c>
      <c r="L57">
        <v>8</v>
      </c>
      <c r="M57" t="s">
        <v>76</v>
      </c>
    </row>
    <row r="58" spans="1:13" x14ac:dyDescent="0.3">
      <c r="A58">
        <v>2022</v>
      </c>
      <c r="B58" s="50">
        <v>44797</v>
      </c>
      <c r="C58">
        <v>8</v>
      </c>
      <c r="D58" s="51" t="s">
        <v>29</v>
      </c>
      <c r="E58">
        <v>522</v>
      </c>
      <c r="F58" s="51" t="s">
        <v>21</v>
      </c>
      <c r="G58">
        <v>6</v>
      </c>
      <c r="H58">
        <v>24</v>
      </c>
      <c r="I58" s="51" t="s">
        <v>36</v>
      </c>
      <c r="J58" t="s">
        <v>66</v>
      </c>
      <c r="K58" t="s">
        <v>74</v>
      </c>
      <c r="L58">
        <v>8</v>
      </c>
      <c r="M58" t="s">
        <v>76</v>
      </c>
    </row>
    <row r="59" spans="1:13" x14ac:dyDescent="0.3">
      <c r="A59">
        <v>2022</v>
      </c>
      <c r="B59" s="50">
        <v>44830</v>
      </c>
      <c r="C59">
        <v>9</v>
      </c>
      <c r="D59" s="51" t="s">
        <v>30</v>
      </c>
      <c r="E59">
        <v>520</v>
      </c>
      <c r="F59" s="51" t="s">
        <v>19</v>
      </c>
      <c r="G59">
        <v>6</v>
      </c>
      <c r="H59">
        <v>24</v>
      </c>
      <c r="I59" s="51" t="s">
        <v>36</v>
      </c>
      <c r="J59" t="s">
        <v>66</v>
      </c>
      <c r="K59" t="s">
        <v>74</v>
      </c>
      <c r="L59">
        <v>9</v>
      </c>
      <c r="M59" t="s">
        <v>77</v>
      </c>
    </row>
    <row r="60" spans="1:13" x14ac:dyDescent="0.3">
      <c r="A60">
        <v>2022</v>
      </c>
      <c r="B60" s="50">
        <v>44832</v>
      </c>
      <c r="C60">
        <v>9</v>
      </c>
      <c r="D60" s="51" t="s">
        <v>30</v>
      </c>
      <c r="E60">
        <v>522</v>
      </c>
      <c r="F60" s="51" t="s">
        <v>21</v>
      </c>
      <c r="G60">
        <v>6</v>
      </c>
      <c r="H60">
        <v>24</v>
      </c>
      <c r="I60" s="51" t="s">
        <v>36</v>
      </c>
      <c r="J60" t="s">
        <v>66</v>
      </c>
      <c r="K60" t="s">
        <v>74</v>
      </c>
      <c r="L60">
        <v>9</v>
      </c>
      <c r="M60" t="s">
        <v>77</v>
      </c>
    </row>
    <row r="61" spans="1:13" x14ac:dyDescent="0.3">
      <c r="A61">
        <v>2022</v>
      </c>
      <c r="B61" s="50">
        <v>44858</v>
      </c>
      <c r="C61">
        <v>10</v>
      </c>
      <c r="D61" s="51" t="s">
        <v>31</v>
      </c>
      <c r="E61">
        <v>520</v>
      </c>
      <c r="F61" s="51" t="s">
        <v>19</v>
      </c>
      <c r="G61">
        <v>6</v>
      </c>
      <c r="H61">
        <v>24</v>
      </c>
      <c r="I61" s="51" t="s">
        <v>36</v>
      </c>
      <c r="J61" t="s">
        <v>66</v>
      </c>
      <c r="K61" t="s">
        <v>78</v>
      </c>
      <c r="L61">
        <v>10</v>
      </c>
      <c r="M61" t="s">
        <v>79</v>
      </c>
    </row>
    <row r="62" spans="1:13" x14ac:dyDescent="0.3">
      <c r="A62">
        <v>2022</v>
      </c>
      <c r="B62" s="50">
        <v>44860</v>
      </c>
      <c r="C62">
        <v>10</v>
      </c>
      <c r="D62" s="51" t="s">
        <v>31</v>
      </c>
      <c r="E62">
        <v>522</v>
      </c>
      <c r="F62" s="51" t="s">
        <v>21</v>
      </c>
      <c r="G62">
        <v>6</v>
      </c>
      <c r="H62">
        <v>24</v>
      </c>
      <c r="I62" s="51" t="s">
        <v>36</v>
      </c>
      <c r="J62" t="s">
        <v>66</v>
      </c>
      <c r="K62" t="s">
        <v>78</v>
      </c>
      <c r="L62">
        <v>10</v>
      </c>
      <c r="M62" t="s">
        <v>79</v>
      </c>
    </row>
    <row r="63" spans="1:13" x14ac:dyDescent="0.3">
      <c r="A63">
        <v>2022</v>
      </c>
      <c r="B63" s="50">
        <v>44888</v>
      </c>
      <c r="C63">
        <v>11</v>
      </c>
      <c r="D63" s="51" t="s">
        <v>32</v>
      </c>
      <c r="E63">
        <v>520</v>
      </c>
      <c r="F63" s="51" t="s">
        <v>19</v>
      </c>
      <c r="G63">
        <v>6</v>
      </c>
      <c r="H63">
        <v>24</v>
      </c>
      <c r="I63" s="51" t="s">
        <v>36</v>
      </c>
      <c r="J63" t="s">
        <v>66</v>
      </c>
      <c r="K63" t="s">
        <v>78</v>
      </c>
      <c r="L63">
        <v>11</v>
      </c>
      <c r="M63" t="s">
        <v>80</v>
      </c>
    </row>
    <row r="64" spans="1:13" x14ac:dyDescent="0.3">
      <c r="A64">
        <v>2022</v>
      </c>
      <c r="B64" s="50">
        <v>44890</v>
      </c>
      <c r="C64">
        <v>11</v>
      </c>
      <c r="D64" s="51" t="s">
        <v>32</v>
      </c>
      <c r="E64">
        <v>522</v>
      </c>
      <c r="F64" s="51" t="s">
        <v>21</v>
      </c>
      <c r="G64">
        <v>6</v>
      </c>
      <c r="H64">
        <v>24</v>
      </c>
      <c r="I64" s="51" t="s">
        <v>36</v>
      </c>
      <c r="J64" t="s">
        <v>66</v>
      </c>
      <c r="K64" t="s">
        <v>78</v>
      </c>
      <c r="L64">
        <v>11</v>
      </c>
      <c r="M64" t="s">
        <v>80</v>
      </c>
    </row>
    <row r="65" spans="1:13" x14ac:dyDescent="0.3">
      <c r="A65">
        <v>2022</v>
      </c>
      <c r="B65" s="50">
        <v>44894</v>
      </c>
      <c r="C65">
        <v>11</v>
      </c>
      <c r="D65" s="51" t="s">
        <v>32</v>
      </c>
      <c r="E65">
        <v>520</v>
      </c>
      <c r="F65" s="51" t="s">
        <v>19</v>
      </c>
      <c r="G65">
        <v>6</v>
      </c>
      <c r="H65">
        <v>24</v>
      </c>
      <c r="I65" s="51" t="s">
        <v>36</v>
      </c>
      <c r="J65" t="s">
        <v>66</v>
      </c>
      <c r="K65" t="s">
        <v>78</v>
      </c>
      <c r="L65">
        <v>11</v>
      </c>
      <c r="M65" t="s">
        <v>80</v>
      </c>
    </row>
    <row r="66" spans="1:13" x14ac:dyDescent="0.3">
      <c r="A66">
        <v>2022</v>
      </c>
      <c r="B66" s="50">
        <v>44894</v>
      </c>
      <c r="C66">
        <v>11</v>
      </c>
      <c r="D66" s="51" t="s">
        <v>32</v>
      </c>
      <c r="E66">
        <v>522</v>
      </c>
      <c r="F66" s="51" t="s">
        <v>21</v>
      </c>
      <c r="G66">
        <v>6</v>
      </c>
      <c r="H66">
        <v>24</v>
      </c>
      <c r="I66" s="51" t="s">
        <v>36</v>
      </c>
      <c r="J66" t="s">
        <v>66</v>
      </c>
      <c r="K66" t="s">
        <v>78</v>
      </c>
      <c r="L66">
        <v>11</v>
      </c>
      <c r="M66" t="s">
        <v>80</v>
      </c>
    </row>
    <row r="67" spans="1:13" x14ac:dyDescent="0.3">
      <c r="A67">
        <v>2022</v>
      </c>
      <c r="B67" s="50">
        <v>44914</v>
      </c>
      <c r="C67">
        <v>12</v>
      </c>
      <c r="D67" s="51" t="s">
        <v>33</v>
      </c>
      <c r="E67">
        <v>520</v>
      </c>
      <c r="F67" s="51" t="s">
        <v>19</v>
      </c>
      <c r="G67">
        <v>6</v>
      </c>
      <c r="H67">
        <v>24</v>
      </c>
      <c r="I67" s="51" t="s">
        <v>36</v>
      </c>
      <c r="J67" t="s">
        <v>66</v>
      </c>
      <c r="K67" t="s">
        <v>78</v>
      </c>
      <c r="L67">
        <v>12</v>
      </c>
      <c r="M67" t="s">
        <v>81</v>
      </c>
    </row>
    <row r="68" spans="1:13" x14ac:dyDescent="0.3">
      <c r="A68">
        <v>2022</v>
      </c>
      <c r="B68" s="50">
        <v>44916</v>
      </c>
      <c r="C68">
        <v>12</v>
      </c>
      <c r="D68" s="51" t="s">
        <v>33</v>
      </c>
      <c r="E68">
        <v>522</v>
      </c>
      <c r="F68" s="51" t="s">
        <v>21</v>
      </c>
      <c r="G68">
        <v>6</v>
      </c>
      <c r="H68">
        <v>24</v>
      </c>
      <c r="I68" s="51" t="s">
        <v>36</v>
      </c>
      <c r="J68" t="s">
        <v>66</v>
      </c>
      <c r="K68" t="s">
        <v>78</v>
      </c>
      <c r="L68">
        <v>12</v>
      </c>
      <c r="M68" t="s">
        <v>81</v>
      </c>
    </row>
    <row r="69" spans="1:13" x14ac:dyDescent="0.3">
      <c r="A69">
        <v>2022</v>
      </c>
      <c r="B69" s="50">
        <v>44564</v>
      </c>
      <c r="C69">
        <v>1</v>
      </c>
      <c r="D69" s="51" t="s">
        <v>34</v>
      </c>
      <c r="E69">
        <v>510</v>
      </c>
      <c r="F69" s="51" t="s">
        <v>38</v>
      </c>
      <c r="G69">
        <v>5</v>
      </c>
      <c r="H69">
        <v>30</v>
      </c>
      <c r="I69" s="51" t="s">
        <v>20</v>
      </c>
      <c r="J69" t="s">
        <v>66</v>
      </c>
      <c r="K69" t="s">
        <v>67</v>
      </c>
      <c r="L69">
        <v>1</v>
      </c>
      <c r="M69" t="s">
        <v>82</v>
      </c>
    </row>
    <row r="70" spans="1:13" x14ac:dyDescent="0.3">
      <c r="A70">
        <v>2022</v>
      </c>
      <c r="B70" s="50">
        <v>44565</v>
      </c>
      <c r="C70">
        <v>1</v>
      </c>
      <c r="D70" s="51" t="s">
        <v>34</v>
      </c>
      <c r="E70">
        <v>510</v>
      </c>
      <c r="F70" s="51" t="s">
        <v>38</v>
      </c>
      <c r="G70">
        <v>7</v>
      </c>
      <c r="H70">
        <v>42</v>
      </c>
      <c r="I70" s="51" t="s">
        <v>20</v>
      </c>
      <c r="J70" t="s">
        <v>66</v>
      </c>
      <c r="K70" t="s">
        <v>67</v>
      </c>
      <c r="L70">
        <v>1</v>
      </c>
      <c r="M70" t="s">
        <v>82</v>
      </c>
    </row>
    <row r="71" spans="1:13" x14ac:dyDescent="0.3">
      <c r="A71">
        <v>2022</v>
      </c>
      <c r="B71" s="50">
        <v>44566</v>
      </c>
      <c r="C71">
        <v>1</v>
      </c>
      <c r="D71" s="51" t="s">
        <v>34</v>
      </c>
      <c r="E71">
        <v>510</v>
      </c>
      <c r="F71" s="51" t="s">
        <v>38</v>
      </c>
      <c r="G71">
        <v>3</v>
      </c>
      <c r="H71">
        <v>18</v>
      </c>
      <c r="I71" s="51" t="s">
        <v>20</v>
      </c>
      <c r="J71" t="s">
        <v>66</v>
      </c>
      <c r="K71" t="s">
        <v>67</v>
      </c>
      <c r="L71">
        <v>1</v>
      </c>
      <c r="M71" t="s">
        <v>82</v>
      </c>
    </row>
    <row r="72" spans="1:13" x14ac:dyDescent="0.3">
      <c r="A72">
        <v>2022</v>
      </c>
      <c r="B72" s="50">
        <v>44573</v>
      </c>
      <c r="C72">
        <v>1</v>
      </c>
      <c r="D72" s="51" t="s">
        <v>34</v>
      </c>
      <c r="E72">
        <v>510</v>
      </c>
      <c r="F72" s="51" t="s">
        <v>38</v>
      </c>
      <c r="G72">
        <v>3</v>
      </c>
      <c r="H72">
        <v>18</v>
      </c>
      <c r="I72" s="51" t="s">
        <v>20</v>
      </c>
      <c r="J72" t="s">
        <v>66</v>
      </c>
      <c r="K72" t="s">
        <v>67</v>
      </c>
      <c r="L72">
        <v>1</v>
      </c>
      <c r="M72" t="s">
        <v>82</v>
      </c>
    </row>
    <row r="73" spans="1:13" x14ac:dyDescent="0.3">
      <c r="A73">
        <v>2022</v>
      </c>
      <c r="B73" s="50">
        <v>44573</v>
      </c>
      <c r="C73">
        <v>1</v>
      </c>
      <c r="D73" s="51" t="s">
        <v>34</v>
      </c>
      <c r="E73">
        <v>510</v>
      </c>
      <c r="F73" s="51" t="s">
        <v>38</v>
      </c>
      <c r="G73">
        <v>5</v>
      </c>
      <c r="H73">
        <v>30</v>
      </c>
      <c r="I73" s="51" t="s">
        <v>20</v>
      </c>
      <c r="J73" t="s">
        <v>66</v>
      </c>
      <c r="K73" t="s">
        <v>67</v>
      </c>
      <c r="L73">
        <v>1</v>
      </c>
      <c r="M73" t="s">
        <v>82</v>
      </c>
    </row>
    <row r="74" spans="1:13" x14ac:dyDescent="0.3">
      <c r="A74">
        <v>2022</v>
      </c>
      <c r="B74" s="50">
        <v>44578</v>
      </c>
      <c r="C74">
        <v>1</v>
      </c>
      <c r="D74" s="51" t="s">
        <v>34</v>
      </c>
      <c r="E74">
        <v>510</v>
      </c>
      <c r="F74" s="51" t="s">
        <v>38</v>
      </c>
      <c r="G74">
        <v>2</v>
      </c>
      <c r="H74">
        <v>12</v>
      </c>
      <c r="I74" s="51" t="s">
        <v>20</v>
      </c>
      <c r="J74" t="s">
        <v>66</v>
      </c>
      <c r="K74" t="s">
        <v>67</v>
      </c>
      <c r="L74">
        <v>1</v>
      </c>
      <c r="M74" t="s">
        <v>82</v>
      </c>
    </row>
    <row r="75" spans="1:13" x14ac:dyDescent="0.3">
      <c r="A75">
        <v>2022</v>
      </c>
      <c r="B75" s="50">
        <v>44580</v>
      </c>
      <c r="C75">
        <v>1</v>
      </c>
      <c r="D75" s="51" t="s">
        <v>34</v>
      </c>
      <c r="E75">
        <v>510</v>
      </c>
      <c r="F75" s="51" t="s">
        <v>38</v>
      </c>
      <c r="G75">
        <v>7</v>
      </c>
      <c r="H75">
        <v>42</v>
      </c>
      <c r="I75" s="51" t="s">
        <v>20</v>
      </c>
      <c r="J75" t="s">
        <v>66</v>
      </c>
      <c r="K75" t="s">
        <v>67</v>
      </c>
      <c r="L75">
        <v>1</v>
      </c>
      <c r="M75" t="s">
        <v>82</v>
      </c>
    </row>
    <row r="76" spans="1:13" x14ac:dyDescent="0.3">
      <c r="A76">
        <v>2022</v>
      </c>
      <c r="B76" s="50">
        <v>44589</v>
      </c>
      <c r="C76">
        <v>1</v>
      </c>
      <c r="D76" s="51" t="s">
        <v>34</v>
      </c>
      <c r="E76">
        <v>510</v>
      </c>
      <c r="F76" s="51" t="s">
        <v>38</v>
      </c>
      <c r="G76">
        <v>5</v>
      </c>
      <c r="H76">
        <v>30</v>
      </c>
      <c r="I76" s="51" t="s">
        <v>20</v>
      </c>
      <c r="J76" t="s">
        <v>66</v>
      </c>
      <c r="K76" t="s">
        <v>67</v>
      </c>
      <c r="L76">
        <v>1</v>
      </c>
      <c r="M76" t="s">
        <v>82</v>
      </c>
    </row>
    <row r="77" spans="1:13" x14ac:dyDescent="0.3">
      <c r="A77">
        <v>2022</v>
      </c>
      <c r="B77" s="50">
        <v>44592</v>
      </c>
      <c r="C77">
        <v>1</v>
      </c>
      <c r="D77" s="51" t="s">
        <v>34</v>
      </c>
      <c r="E77">
        <v>510</v>
      </c>
      <c r="F77" s="51" t="s">
        <v>38</v>
      </c>
      <c r="G77">
        <v>5</v>
      </c>
      <c r="H77">
        <v>30</v>
      </c>
      <c r="I77" s="51" t="s">
        <v>20</v>
      </c>
      <c r="J77" t="s">
        <v>66</v>
      </c>
      <c r="K77" t="s">
        <v>67</v>
      </c>
      <c r="L77">
        <v>1</v>
      </c>
      <c r="M77" t="s">
        <v>82</v>
      </c>
    </row>
    <row r="78" spans="1:13" x14ac:dyDescent="0.3">
      <c r="A78">
        <v>2022</v>
      </c>
      <c r="B78" s="50">
        <v>44564</v>
      </c>
      <c r="C78">
        <v>1</v>
      </c>
      <c r="D78" s="51" t="s">
        <v>34</v>
      </c>
      <c r="E78">
        <v>516</v>
      </c>
      <c r="F78" s="51" t="s">
        <v>39</v>
      </c>
      <c r="G78">
        <v>4</v>
      </c>
      <c r="H78">
        <v>18</v>
      </c>
      <c r="I78" s="51" t="s">
        <v>20</v>
      </c>
      <c r="J78" t="s">
        <v>66</v>
      </c>
      <c r="K78" t="s">
        <v>67</v>
      </c>
      <c r="L78">
        <v>1</v>
      </c>
      <c r="M78" t="s">
        <v>82</v>
      </c>
    </row>
    <row r="79" spans="1:13" x14ac:dyDescent="0.3">
      <c r="A79">
        <v>2022</v>
      </c>
      <c r="B79" s="50">
        <v>44565</v>
      </c>
      <c r="C79">
        <v>1</v>
      </c>
      <c r="D79" s="51" t="s">
        <v>34</v>
      </c>
      <c r="E79">
        <v>514</v>
      </c>
      <c r="F79" s="51" t="s">
        <v>40</v>
      </c>
      <c r="G79">
        <v>10</v>
      </c>
      <c r="H79">
        <v>65</v>
      </c>
      <c r="I79" s="51" t="s">
        <v>20</v>
      </c>
      <c r="J79" t="s">
        <v>66</v>
      </c>
      <c r="K79" t="s">
        <v>67</v>
      </c>
      <c r="L79">
        <v>1</v>
      </c>
      <c r="M79" t="s">
        <v>82</v>
      </c>
    </row>
    <row r="80" spans="1:13" x14ac:dyDescent="0.3">
      <c r="A80">
        <v>2022</v>
      </c>
      <c r="B80" s="50">
        <v>44566</v>
      </c>
      <c r="C80">
        <v>1</v>
      </c>
      <c r="D80" s="51" t="s">
        <v>34</v>
      </c>
      <c r="E80">
        <v>548</v>
      </c>
      <c r="F80" s="51" t="s">
        <v>37</v>
      </c>
      <c r="G80">
        <v>3</v>
      </c>
      <c r="H80">
        <v>6</v>
      </c>
      <c r="I80" s="51" t="s">
        <v>20</v>
      </c>
      <c r="J80" t="s">
        <v>66</v>
      </c>
      <c r="K80" t="s">
        <v>67</v>
      </c>
      <c r="L80">
        <v>1</v>
      </c>
      <c r="M80" t="s">
        <v>82</v>
      </c>
    </row>
    <row r="81" spans="1:13" x14ac:dyDescent="0.3">
      <c r="A81">
        <v>2022</v>
      </c>
      <c r="B81" s="50">
        <v>44587</v>
      </c>
      <c r="C81">
        <v>1</v>
      </c>
      <c r="D81" s="51" t="s">
        <v>34</v>
      </c>
      <c r="E81">
        <v>548</v>
      </c>
      <c r="F81" s="51" t="s">
        <v>37</v>
      </c>
      <c r="G81">
        <v>2</v>
      </c>
      <c r="H81">
        <v>4</v>
      </c>
      <c r="I81" s="51" t="s">
        <v>20</v>
      </c>
      <c r="J81" t="s">
        <v>66</v>
      </c>
      <c r="K81" t="s">
        <v>67</v>
      </c>
      <c r="L81">
        <v>1</v>
      </c>
      <c r="M81" t="s">
        <v>82</v>
      </c>
    </row>
    <row r="82" spans="1:13" x14ac:dyDescent="0.3">
      <c r="A82">
        <v>2022</v>
      </c>
      <c r="B82" s="50">
        <v>44567</v>
      </c>
      <c r="C82">
        <v>1</v>
      </c>
      <c r="D82" s="51" t="s">
        <v>34</v>
      </c>
      <c r="E82">
        <v>530</v>
      </c>
      <c r="F82" s="51" t="s">
        <v>41</v>
      </c>
      <c r="G82">
        <v>3</v>
      </c>
      <c r="H82">
        <v>25.5</v>
      </c>
      <c r="I82" s="51" t="s">
        <v>20</v>
      </c>
      <c r="J82" t="s">
        <v>66</v>
      </c>
      <c r="K82" t="s">
        <v>67</v>
      </c>
      <c r="L82">
        <v>1</v>
      </c>
      <c r="M82" t="s">
        <v>82</v>
      </c>
    </row>
    <row r="83" spans="1:13" x14ac:dyDescent="0.3">
      <c r="A83">
        <v>2022</v>
      </c>
      <c r="B83" s="50">
        <v>44582</v>
      </c>
      <c r="C83">
        <v>1</v>
      </c>
      <c r="D83" s="51" t="s">
        <v>34</v>
      </c>
      <c r="E83">
        <v>530</v>
      </c>
      <c r="F83" s="51" t="s">
        <v>41</v>
      </c>
      <c r="G83">
        <v>2</v>
      </c>
      <c r="H83">
        <v>17</v>
      </c>
      <c r="I83" s="51" t="s">
        <v>20</v>
      </c>
      <c r="J83" t="s">
        <v>66</v>
      </c>
      <c r="K83" t="s">
        <v>67</v>
      </c>
      <c r="L83">
        <v>1</v>
      </c>
      <c r="M83" t="s">
        <v>82</v>
      </c>
    </row>
    <row r="84" spans="1:13" x14ac:dyDescent="0.3">
      <c r="A84">
        <v>2022</v>
      </c>
      <c r="B84" s="50">
        <v>44567</v>
      </c>
      <c r="C84">
        <v>1</v>
      </c>
      <c r="D84" s="51" t="s">
        <v>34</v>
      </c>
      <c r="E84">
        <v>540</v>
      </c>
      <c r="F84" s="51" t="s">
        <v>42</v>
      </c>
      <c r="G84">
        <v>5</v>
      </c>
      <c r="H84">
        <v>37.5</v>
      </c>
      <c r="I84" s="51" t="s">
        <v>20</v>
      </c>
      <c r="J84" t="s">
        <v>66</v>
      </c>
      <c r="K84" t="s">
        <v>67</v>
      </c>
      <c r="L84">
        <v>1</v>
      </c>
      <c r="M84" t="s">
        <v>82</v>
      </c>
    </row>
    <row r="85" spans="1:13" x14ac:dyDescent="0.3">
      <c r="A85">
        <v>2022</v>
      </c>
      <c r="B85" s="50">
        <v>44582</v>
      </c>
      <c r="C85">
        <v>1</v>
      </c>
      <c r="D85" s="51" t="s">
        <v>34</v>
      </c>
      <c r="E85">
        <v>540</v>
      </c>
      <c r="F85" s="51" t="s">
        <v>42</v>
      </c>
      <c r="G85">
        <v>10</v>
      </c>
      <c r="H85">
        <v>75</v>
      </c>
      <c r="I85" s="51" t="s">
        <v>20</v>
      </c>
      <c r="J85" t="s">
        <v>66</v>
      </c>
      <c r="K85" t="s">
        <v>67</v>
      </c>
      <c r="L85">
        <v>1</v>
      </c>
      <c r="M85" t="s">
        <v>82</v>
      </c>
    </row>
    <row r="86" spans="1:13" x14ac:dyDescent="0.3">
      <c r="A86">
        <v>2022</v>
      </c>
      <c r="B86" s="50">
        <v>44568</v>
      </c>
      <c r="C86">
        <v>1</v>
      </c>
      <c r="D86" s="51" t="s">
        <v>34</v>
      </c>
      <c r="E86">
        <v>524</v>
      </c>
      <c r="F86" s="51" t="s">
        <v>43</v>
      </c>
      <c r="G86">
        <v>6</v>
      </c>
      <c r="H86">
        <v>12</v>
      </c>
      <c r="I86" s="51" t="s">
        <v>20</v>
      </c>
      <c r="J86" t="s">
        <v>66</v>
      </c>
      <c r="K86" t="s">
        <v>67</v>
      </c>
      <c r="L86">
        <v>1</v>
      </c>
      <c r="M86" t="s">
        <v>82</v>
      </c>
    </row>
    <row r="87" spans="1:13" x14ac:dyDescent="0.3">
      <c r="A87">
        <v>2022</v>
      </c>
      <c r="B87" s="50">
        <v>44568</v>
      </c>
      <c r="C87">
        <v>1</v>
      </c>
      <c r="D87" s="51" t="s">
        <v>34</v>
      </c>
      <c r="E87">
        <v>562</v>
      </c>
      <c r="F87" s="51" t="s">
        <v>44</v>
      </c>
      <c r="G87">
        <v>2</v>
      </c>
      <c r="H87">
        <v>10</v>
      </c>
      <c r="I87" s="51" t="s">
        <v>20</v>
      </c>
      <c r="J87" t="s">
        <v>66</v>
      </c>
      <c r="K87" t="s">
        <v>67</v>
      </c>
      <c r="L87">
        <v>1</v>
      </c>
      <c r="M87" t="s">
        <v>82</v>
      </c>
    </row>
    <row r="88" spans="1:13" x14ac:dyDescent="0.3">
      <c r="A88">
        <v>2022</v>
      </c>
      <c r="B88" s="50">
        <v>44571</v>
      </c>
      <c r="C88">
        <v>1</v>
      </c>
      <c r="D88" s="51" t="s">
        <v>34</v>
      </c>
      <c r="E88">
        <v>560</v>
      </c>
      <c r="F88" s="51" t="s">
        <v>45</v>
      </c>
      <c r="G88">
        <v>2</v>
      </c>
      <c r="H88">
        <v>16</v>
      </c>
      <c r="I88" s="51" t="s">
        <v>20</v>
      </c>
      <c r="J88" t="s">
        <v>66</v>
      </c>
      <c r="K88" t="s">
        <v>67</v>
      </c>
      <c r="L88">
        <v>1</v>
      </c>
      <c r="M88" t="s">
        <v>82</v>
      </c>
    </row>
    <row r="89" spans="1:13" x14ac:dyDescent="0.3">
      <c r="A89">
        <v>2022</v>
      </c>
      <c r="B89" s="50">
        <v>44575</v>
      </c>
      <c r="C89">
        <v>1</v>
      </c>
      <c r="D89" s="51" t="s">
        <v>34</v>
      </c>
      <c r="E89">
        <v>560</v>
      </c>
      <c r="F89" s="51" t="s">
        <v>45</v>
      </c>
      <c r="G89">
        <v>4</v>
      </c>
      <c r="H89">
        <v>32</v>
      </c>
      <c r="I89" s="51" t="s">
        <v>20</v>
      </c>
      <c r="J89" t="s">
        <v>66</v>
      </c>
      <c r="K89" t="s">
        <v>67</v>
      </c>
      <c r="L89">
        <v>1</v>
      </c>
      <c r="M89" t="s">
        <v>82</v>
      </c>
    </row>
    <row r="90" spans="1:13" x14ac:dyDescent="0.3">
      <c r="A90">
        <v>2022</v>
      </c>
      <c r="B90" s="50">
        <v>44571</v>
      </c>
      <c r="C90">
        <v>1</v>
      </c>
      <c r="D90" s="51" t="s">
        <v>34</v>
      </c>
      <c r="E90">
        <v>542</v>
      </c>
      <c r="F90" s="51" t="s">
        <v>46</v>
      </c>
      <c r="G90">
        <v>2</v>
      </c>
      <c r="H90">
        <v>20</v>
      </c>
      <c r="I90" s="51" t="s">
        <v>20</v>
      </c>
      <c r="J90" t="s">
        <v>66</v>
      </c>
      <c r="K90" t="s">
        <v>67</v>
      </c>
      <c r="L90">
        <v>1</v>
      </c>
      <c r="M90" t="s">
        <v>82</v>
      </c>
    </row>
    <row r="91" spans="1:13" x14ac:dyDescent="0.3">
      <c r="A91">
        <v>2022</v>
      </c>
      <c r="B91" s="50">
        <v>44575</v>
      </c>
      <c r="C91">
        <v>1</v>
      </c>
      <c r="D91" s="51" t="s">
        <v>34</v>
      </c>
      <c r="E91">
        <v>518</v>
      </c>
      <c r="F91" s="51" t="s">
        <v>35</v>
      </c>
      <c r="G91">
        <v>4</v>
      </c>
      <c r="H91">
        <v>16</v>
      </c>
      <c r="I91" s="51" t="s">
        <v>20</v>
      </c>
      <c r="J91" t="s">
        <v>66</v>
      </c>
      <c r="K91" t="s">
        <v>67</v>
      </c>
      <c r="L91">
        <v>1</v>
      </c>
      <c r="M91" t="s">
        <v>82</v>
      </c>
    </row>
    <row r="92" spans="1:13" x14ac:dyDescent="0.3">
      <c r="A92">
        <v>2022</v>
      </c>
      <c r="B92" s="50">
        <v>44578</v>
      </c>
      <c r="C92">
        <v>1</v>
      </c>
      <c r="D92" s="51" t="s">
        <v>34</v>
      </c>
      <c r="E92">
        <v>580</v>
      </c>
      <c r="F92" s="51" t="s">
        <v>25</v>
      </c>
      <c r="G92">
        <v>5</v>
      </c>
      <c r="H92">
        <v>40</v>
      </c>
      <c r="I92" s="51" t="s">
        <v>20</v>
      </c>
      <c r="J92" t="s">
        <v>66</v>
      </c>
      <c r="K92" t="s">
        <v>67</v>
      </c>
      <c r="L92">
        <v>1</v>
      </c>
      <c r="M92" t="s">
        <v>82</v>
      </c>
    </row>
    <row r="93" spans="1:13" x14ac:dyDescent="0.3">
      <c r="A93">
        <v>2022</v>
      </c>
      <c r="B93" s="50">
        <v>44585</v>
      </c>
      <c r="C93">
        <v>1</v>
      </c>
      <c r="D93" s="51" t="s">
        <v>34</v>
      </c>
      <c r="E93">
        <v>580</v>
      </c>
      <c r="F93" s="51" t="s">
        <v>25</v>
      </c>
      <c r="G93">
        <v>4</v>
      </c>
      <c r="H93">
        <v>32</v>
      </c>
      <c r="I93" s="51" t="s">
        <v>20</v>
      </c>
      <c r="J93" t="s">
        <v>66</v>
      </c>
      <c r="K93" t="s">
        <v>67</v>
      </c>
      <c r="L93">
        <v>1</v>
      </c>
      <c r="M93" t="s">
        <v>82</v>
      </c>
    </row>
    <row r="94" spans="1:13" x14ac:dyDescent="0.3">
      <c r="A94">
        <v>2022</v>
      </c>
      <c r="B94" s="50">
        <v>44592</v>
      </c>
      <c r="C94">
        <v>1</v>
      </c>
      <c r="D94" s="51" t="s">
        <v>34</v>
      </c>
      <c r="E94">
        <v>580</v>
      </c>
      <c r="F94" s="51" t="s">
        <v>25</v>
      </c>
      <c r="G94">
        <v>5</v>
      </c>
      <c r="H94">
        <v>40</v>
      </c>
      <c r="I94" s="51" t="s">
        <v>20</v>
      </c>
      <c r="J94" t="s">
        <v>66</v>
      </c>
      <c r="K94" t="s">
        <v>67</v>
      </c>
      <c r="L94">
        <v>1</v>
      </c>
      <c r="M94" t="s">
        <v>82</v>
      </c>
    </row>
    <row r="95" spans="1:13" x14ac:dyDescent="0.3">
      <c r="A95">
        <v>2022</v>
      </c>
      <c r="B95" s="50">
        <v>44580</v>
      </c>
      <c r="C95">
        <v>1</v>
      </c>
      <c r="D95" s="51" t="s">
        <v>34</v>
      </c>
      <c r="E95">
        <v>578</v>
      </c>
      <c r="F95" s="51" t="s">
        <v>47</v>
      </c>
      <c r="G95">
        <v>1</v>
      </c>
      <c r="H95">
        <v>15.5</v>
      </c>
      <c r="I95" s="51" t="s">
        <v>20</v>
      </c>
      <c r="J95" t="s">
        <v>66</v>
      </c>
      <c r="K95" t="s">
        <v>67</v>
      </c>
      <c r="L95">
        <v>1</v>
      </c>
      <c r="M95" t="s">
        <v>82</v>
      </c>
    </row>
    <row r="96" spans="1:13" x14ac:dyDescent="0.3">
      <c r="A96">
        <v>2022</v>
      </c>
      <c r="B96" s="50">
        <v>44585</v>
      </c>
      <c r="C96">
        <v>1</v>
      </c>
      <c r="D96" s="51" t="s">
        <v>34</v>
      </c>
      <c r="E96">
        <v>536</v>
      </c>
      <c r="F96" s="51" t="s">
        <v>48</v>
      </c>
      <c r="G96">
        <v>3</v>
      </c>
      <c r="H96">
        <v>15</v>
      </c>
      <c r="I96" s="51" t="s">
        <v>20</v>
      </c>
      <c r="J96" t="s">
        <v>66</v>
      </c>
      <c r="K96" t="s">
        <v>67</v>
      </c>
      <c r="L96">
        <v>1</v>
      </c>
      <c r="M96" t="s">
        <v>82</v>
      </c>
    </row>
    <row r="97" spans="1:13" x14ac:dyDescent="0.3">
      <c r="A97">
        <v>2022</v>
      </c>
      <c r="B97" s="50">
        <v>44587</v>
      </c>
      <c r="C97">
        <v>1</v>
      </c>
      <c r="D97" s="51" t="s">
        <v>34</v>
      </c>
      <c r="E97">
        <v>520</v>
      </c>
      <c r="F97" s="51" t="s">
        <v>19</v>
      </c>
      <c r="G97">
        <v>4</v>
      </c>
      <c r="H97">
        <v>16</v>
      </c>
      <c r="I97" s="51" t="s">
        <v>20</v>
      </c>
      <c r="J97" t="s">
        <v>66</v>
      </c>
      <c r="K97" t="s">
        <v>67</v>
      </c>
      <c r="L97">
        <v>1</v>
      </c>
      <c r="M97" t="s">
        <v>82</v>
      </c>
    </row>
    <row r="98" spans="1:13" x14ac:dyDescent="0.3">
      <c r="A98">
        <v>2022</v>
      </c>
      <c r="B98" s="50">
        <v>44589</v>
      </c>
      <c r="C98">
        <v>1</v>
      </c>
      <c r="D98" s="51" t="s">
        <v>34</v>
      </c>
      <c r="E98">
        <v>522</v>
      </c>
      <c r="F98" s="51" t="s">
        <v>21</v>
      </c>
      <c r="G98">
        <v>5</v>
      </c>
      <c r="H98">
        <v>20</v>
      </c>
      <c r="I98" s="51" t="s">
        <v>20</v>
      </c>
      <c r="J98" t="s">
        <v>66</v>
      </c>
      <c r="K98" t="s">
        <v>67</v>
      </c>
      <c r="L98">
        <v>1</v>
      </c>
      <c r="M98" t="s">
        <v>82</v>
      </c>
    </row>
    <row r="99" spans="1:13" x14ac:dyDescent="0.3">
      <c r="A99">
        <v>2022</v>
      </c>
      <c r="B99" s="50">
        <v>44599</v>
      </c>
      <c r="C99">
        <v>2</v>
      </c>
      <c r="D99" s="51" t="s">
        <v>18</v>
      </c>
      <c r="E99">
        <v>532</v>
      </c>
      <c r="F99" s="51" t="s">
        <v>49</v>
      </c>
      <c r="G99">
        <v>2</v>
      </c>
      <c r="H99">
        <v>20</v>
      </c>
      <c r="I99" s="51" t="s">
        <v>20</v>
      </c>
      <c r="J99" t="s">
        <v>66</v>
      </c>
      <c r="K99" t="s">
        <v>67</v>
      </c>
      <c r="L99">
        <v>2</v>
      </c>
      <c r="M99" t="s">
        <v>68</v>
      </c>
    </row>
    <row r="100" spans="1:13" x14ac:dyDescent="0.3">
      <c r="A100">
        <v>2022</v>
      </c>
      <c r="B100" s="50">
        <v>44599</v>
      </c>
      <c r="C100">
        <v>2</v>
      </c>
      <c r="D100" s="51" t="s">
        <v>18</v>
      </c>
      <c r="E100">
        <v>544</v>
      </c>
      <c r="F100" s="51" t="s">
        <v>23</v>
      </c>
      <c r="G100">
        <v>3</v>
      </c>
      <c r="H100">
        <v>36</v>
      </c>
      <c r="I100" s="51" t="s">
        <v>20</v>
      </c>
      <c r="J100" t="s">
        <v>66</v>
      </c>
      <c r="K100" t="s">
        <v>67</v>
      </c>
      <c r="L100">
        <v>2</v>
      </c>
      <c r="M100" t="s">
        <v>68</v>
      </c>
    </row>
    <row r="101" spans="1:13" x14ac:dyDescent="0.3">
      <c r="A101">
        <v>2022</v>
      </c>
      <c r="B101" s="50">
        <v>44599</v>
      </c>
      <c r="C101">
        <v>2</v>
      </c>
      <c r="D101" s="51" t="s">
        <v>18</v>
      </c>
      <c r="E101">
        <v>514</v>
      </c>
      <c r="F101" s="51" t="s">
        <v>40</v>
      </c>
      <c r="G101">
        <v>11</v>
      </c>
      <c r="H101">
        <v>71.5</v>
      </c>
      <c r="I101" s="51" t="s">
        <v>20</v>
      </c>
      <c r="J101" t="s">
        <v>66</v>
      </c>
      <c r="K101" t="s">
        <v>67</v>
      </c>
      <c r="L101">
        <v>2</v>
      </c>
      <c r="M101" t="s">
        <v>68</v>
      </c>
    </row>
    <row r="102" spans="1:13" x14ac:dyDescent="0.3">
      <c r="A102">
        <v>2022</v>
      </c>
      <c r="B102" s="50">
        <v>44599</v>
      </c>
      <c r="C102">
        <v>2</v>
      </c>
      <c r="D102" s="51" t="s">
        <v>18</v>
      </c>
      <c r="E102">
        <v>548</v>
      </c>
      <c r="F102" s="51" t="s">
        <v>37</v>
      </c>
      <c r="G102">
        <v>10</v>
      </c>
      <c r="H102">
        <v>20</v>
      </c>
      <c r="I102" s="51" t="s">
        <v>20</v>
      </c>
      <c r="J102" t="s">
        <v>66</v>
      </c>
      <c r="K102" t="s">
        <v>67</v>
      </c>
      <c r="L102">
        <v>2</v>
      </c>
      <c r="M102" t="s">
        <v>68</v>
      </c>
    </row>
    <row r="103" spans="1:13" x14ac:dyDescent="0.3">
      <c r="A103">
        <v>2022</v>
      </c>
      <c r="B103" s="50">
        <v>44600</v>
      </c>
      <c r="C103">
        <v>2</v>
      </c>
      <c r="D103" s="51" t="s">
        <v>18</v>
      </c>
      <c r="E103">
        <v>536</v>
      </c>
      <c r="F103" s="51" t="s">
        <v>48</v>
      </c>
      <c r="G103">
        <v>5</v>
      </c>
      <c r="H103">
        <v>25</v>
      </c>
      <c r="I103" s="51" t="s">
        <v>20</v>
      </c>
      <c r="J103" t="s">
        <v>66</v>
      </c>
      <c r="K103" t="s">
        <v>67</v>
      </c>
      <c r="L103">
        <v>2</v>
      </c>
      <c r="M103" t="s">
        <v>68</v>
      </c>
    </row>
    <row r="104" spans="1:13" x14ac:dyDescent="0.3">
      <c r="A104">
        <v>2022</v>
      </c>
      <c r="B104" s="50">
        <v>44600</v>
      </c>
      <c r="C104">
        <v>2</v>
      </c>
      <c r="D104" s="51" t="s">
        <v>18</v>
      </c>
      <c r="E104">
        <v>542</v>
      </c>
      <c r="F104" s="51" t="s">
        <v>46</v>
      </c>
      <c r="G104">
        <v>3</v>
      </c>
      <c r="H104">
        <v>30</v>
      </c>
      <c r="I104" s="51" t="s">
        <v>20</v>
      </c>
      <c r="J104" t="s">
        <v>66</v>
      </c>
      <c r="K104" t="s">
        <v>67</v>
      </c>
      <c r="L104">
        <v>2</v>
      </c>
      <c r="M104" t="s">
        <v>68</v>
      </c>
    </row>
    <row r="105" spans="1:13" x14ac:dyDescent="0.3">
      <c r="A105">
        <v>2022</v>
      </c>
      <c r="B105" s="50">
        <v>44601</v>
      </c>
      <c r="C105">
        <v>2</v>
      </c>
      <c r="D105" s="51" t="s">
        <v>18</v>
      </c>
      <c r="E105">
        <v>514</v>
      </c>
      <c r="F105" s="51" t="s">
        <v>40</v>
      </c>
      <c r="G105">
        <v>12</v>
      </c>
      <c r="H105">
        <v>78</v>
      </c>
      <c r="I105" s="51" t="s">
        <v>20</v>
      </c>
      <c r="J105" t="s">
        <v>66</v>
      </c>
      <c r="K105" t="s">
        <v>67</v>
      </c>
      <c r="L105">
        <v>2</v>
      </c>
      <c r="M105" t="s">
        <v>68</v>
      </c>
    </row>
    <row r="106" spans="1:13" x14ac:dyDescent="0.3">
      <c r="A106">
        <v>2022</v>
      </c>
      <c r="B106" s="50">
        <v>44601</v>
      </c>
      <c r="C106">
        <v>2</v>
      </c>
      <c r="D106" s="51" t="s">
        <v>18</v>
      </c>
      <c r="E106">
        <v>548</v>
      </c>
      <c r="F106" s="51" t="s">
        <v>37</v>
      </c>
      <c r="G106">
        <v>10</v>
      </c>
      <c r="H106">
        <v>20</v>
      </c>
      <c r="I106" s="51" t="s">
        <v>20</v>
      </c>
      <c r="J106" t="s">
        <v>66</v>
      </c>
      <c r="K106" t="s">
        <v>67</v>
      </c>
      <c r="L106">
        <v>2</v>
      </c>
      <c r="M106" t="s">
        <v>68</v>
      </c>
    </row>
    <row r="107" spans="1:13" x14ac:dyDescent="0.3">
      <c r="A107">
        <v>2022</v>
      </c>
      <c r="B107" s="50">
        <v>44602</v>
      </c>
      <c r="C107">
        <v>2</v>
      </c>
      <c r="D107" s="51" t="s">
        <v>18</v>
      </c>
      <c r="E107">
        <v>540</v>
      </c>
      <c r="F107" s="51" t="s">
        <v>42</v>
      </c>
      <c r="G107">
        <v>5</v>
      </c>
      <c r="H107">
        <v>37.5</v>
      </c>
      <c r="I107" s="51" t="s">
        <v>20</v>
      </c>
      <c r="J107" t="s">
        <v>66</v>
      </c>
      <c r="K107" t="s">
        <v>67</v>
      </c>
      <c r="L107">
        <v>2</v>
      </c>
      <c r="M107" t="s">
        <v>68</v>
      </c>
    </row>
    <row r="108" spans="1:13" x14ac:dyDescent="0.3">
      <c r="A108">
        <v>2022</v>
      </c>
      <c r="B108" s="50">
        <v>44602</v>
      </c>
      <c r="C108">
        <v>2</v>
      </c>
      <c r="D108" s="51" t="s">
        <v>18</v>
      </c>
      <c r="E108">
        <v>560</v>
      </c>
      <c r="F108" s="51" t="s">
        <v>45</v>
      </c>
      <c r="G108">
        <v>5</v>
      </c>
      <c r="H108">
        <v>40</v>
      </c>
      <c r="I108" s="51" t="s">
        <v>20</v>
      </c>
      <c r="J108" t="s">
        <v>66</v>
      </c>
      <c r="K108" t="s">
        <v>67</v>
      </c>
      <c r="L108">
        <v>2</v>
      </c>
      <c r="M108" t="s">
        <v>68</v>
      </c>
    </row>
    <row r="109" spans="1:13" x14ac:dyDescent="0.3">
      <c r="A109">
        <v>2022</v>
      </c>
      <c r="B109" s="50">
        <v>44603</v>
      </c>
      <c r="C109">
        <v>2</v>
      </c>
      <c r="D109" s="51" t="s">
        <v>18</v>
      </c>
      <c r="E109">
        <v>516</v>
      </c>
      <c r="F109" s="51" t="s">
        <v>39</v>
      </c>
      <c r="G109">
        <v>7</v>
      </c>
      <c r="H109">
        <v>31.5</v>
      </c>
      <c r="I109" s="51" t="s">
        <v>20</v>
      </c>
      <c r="J109" t="s">
        <v>66</v>
      </c>
      <c r="K109" t="s">
        <v>67</v>
      </c>
      <c r="L109">
        <v>2</v>
      </c>
      <c r="M109" t="s">
        <v>68</v>
      </c>
    </row>
    <row r="110" spans="1:13" x14ac:dyDescent="0.3">
      <c r="A110">
        <v>2022</v>
      </c>
      <c r="B110" s="50">
        <v>44603</v>
      </c>
      <c r="C110">
        <v>2</v>
      </c>
      <c r="D110" s="51" t="s">
        <v>18</v>
      </c>
      <c r="E110">
        <v>530</v>
      </c>
      <c r="F110" s="51" t="s">
        <v>41</v>
      </c>
      <c r="G110">
        <v>5</v>
      </c>
      <c r="H110">
        <v>42.5</v>
      </c>
      <c r="I110" s="51" t="s">
        <v>20</v>
      </c>
      <c r="J110" t="s">
        <v>66</v>
      </c>
      <c r="K110" t="s">
        <v>67</v>
      </c>
      <c r="L110">
        <v>2</v>
      </c>
      <c r="M110" t="s">
        <v>68</v>
      </c>
    </row>
    <row r="111" spans="1:13" x14ac:dyDescent="0.3">
      <c r="A111">
        <v>2022</v>
      </c>
      <c r="B111" s="50">
        <v>44613</v>
      </c>
      <c r="C111">
        <v>2</v>
      </c>
      <c r="D111" s="51" t="s">
        <v>18</v>
      </c>
      <c r="E111">
        <v>518</v>
      </c>
      <c r="F111" s="51" t="s">
        <v>35</v>
      </c>
      <c r="G111">
        <v>4</v>
      </c>
      <c r="H111">
        <v>16</v>
      </c>
      <c r="I111" s="51" t="s">
        <v>20</v>
      </c>
      <c r="J111" t="s">
        <v>66</v>
      </c>
      <c r="K111" t="s">
        <v>67</v>
      </c>
      <c r="L111">
        <v>2</v>
      </c>
      <c r="M111" t="s">
        <v>68</v>
      </c>
    </row>
    <row r="112" spans="1:13" x14ac:dyDescent="0.3">
      <c r="A112">
        <v>2022</v>
      </c>
      <c r="B112" s="50">
        <v>44613</v>
      </c>
      <c r="C112">
        <v>2</v>
      </c>
      <c r="D112" s="51" t="s">
        <v>18</v>
      </c>
      <c r="E112">
        <v>524</v>
      </c>
      <c r="F112" s="51" t="s">
        <v>43</v>
      </c>
      <c r="G112">
        <v>3</v>
      </c>
      <c r="H112">
        <v>6</v>
      </c>
      <c r="I112" s="51" t="s">
        <v>20</v>
      </c>
      <c r="J112" t="s">
        <v>66</v>
      </c>
      <c r="K112" t="s">
        <v>67</v>
      </c>
      <c r="L112">
        <v>2</v>
      </c>
      <c r="M112" t="s">
        <v>68</v>
      </c>
    </row>
    <row r="113" spans="1:13" x14ac:dyDescent="0.3">
      <c r="A113">
        <v>2022</v>
      </c>
      <c r="B113" s="50">
        <v>44615</v>
      </c>
      <c r="C113">
        <v>2</v>
      </c>
      <c r="D113" s="51" t="s">
        <v>18</v>
      </c>
      <c r="E113">
        <v>580</v>
      </c>
      <c r="F113" s="51" t="s">
        <v>25</v>
      </c>
      <c r="G113">
        <v>6</v>
      </c>
      <c r="H113">
        <v>48</v>
      </c>
      <c r="I113" s="51" t="s">
        <v>20</v>
      </c>
      <c r="J113" t="s">
        <v>66</v>
      </c>
      <c r="K113" t="s">
        <v>67</v>
      </c>
      <c r="L113">
        <v>2</v>
      </c>
      <c r="M113" t="s">
        <v>68</v>
      </c>
    </row>
    <row r="114" spans="1:13" x14ac:dyDescent="0.3">
      <c r="A114">
        <v>2022</v>
      </c>
      <c r="B114" s="50">
        <v>44616</v>
      </c>
      <c r="C114">
        <v>2</v>
      </c>
      <c r="D114" s="51" t="s">
        <v>18</v>
      </c>
      <c r="E114">
        <v>510</v>
      </c>
      <c r="F114" s="51" t="s">
        <v>38</v>
      </c>
      <c r="G114">
        <v>6</v>
      </c>
      <c r="H114">
        <v>36</v>
      </c>
      <c r="I114" s="51" t="s">
        <v>20</v>
      </c>
      <c r="J114" t="s">
        <v>66</v>
      </c>
      <c r="K114" t="s">
        <v>67</v>
      </c>
      <c r="L114">
        <v>2</v>
      </c>
      <c r="M114" t="s">
        <v>68</v>
      </c>
    </row>
    <row r="115" spans="1:13" x14ac:dyDescent="0.3">
      <c r="A115">
        <v>2022</v>
      </c>
      <c r="B115" s="50">
        <v>44617</v>
      </c>
      <c r="C115">
        <v>2</v>
      </c>
      <c r="D115" s="51" t="s">
        <v>18</v>
      </c>
      <c r="E115">
        <v>562</v>
      </c>
      <c r="F115" s="51" t="s">
        <v>44</v>
      </c>
      <c r="G115">
        <v>5</v>
      </c>
      <c r="H115">
        <v>25</v>
      </c>
      <c r="I115" s="51" t="s">
        <v>20</v>
      </c>
      <c r="J115" t="s">
        <v>66</v>
      </c>
      <c r="K115" t="s">
        <v>67</v>
      </c>
      <c r="L115">
        <v>2</v>
      </c>
      <c r="M115" t="s">
        <v>68</v>
      </c>
    </row>
    <row r="116" spans="1:13" x14ac:dyDescent="0.3">
      <c r="A116">
        <v>2022</v>
      </c>
      <c r="B116" s="50">
        <v>44617</v>
      </c>
      <c r="C116">
        <v>2</v>
      </c>
      <c r="D116" s="51" t="s">
        <v>18</v>
      </c>
      <c r="E116">
        <v>510</v>
      </c>
      <c r="F116" s="51" t="s">
        <v>38</v>
      </c>
      <c r="G116">
        <v>6</v>
      </c>
      <c r="H116">
        <v>36</v>
      </c>
      <c r="I116" s="51" t="s">
        <v>20</v>
      </c>
      <c r="J116" t="s">
        <v>66</v>
      </c>
      <c r="K116" t="s">
        <v>67</v>
      </c>
      <c r="L116">
        <v>2</v>
      </c>
      <c r="M116" t="s">
        <v>68</v>
      </c>
    </row>
    <row r="117" spans="1:13" x14ac:dyDescent="0.3">
      <c r="A117">
        <v>2022</v>
      </c>
      <c r="B117" s="50">
        <v>44627</v>
      </c>
      <c r="C117">
        <v>3</v>
      </c>
      <c r="D117" s="51" t="s">
        <v>22</v>
      </c>
      <c r="E117">
        <v>532</v>
      </c>
      <c r="F117" s="51" t="s">
        <v>49</v>
      </c>
      <c r="G117">
        <v>2</v>
      </c>
      <c r="H117">
        <v>20</v>
      </c>
      <c r="I117" s="51" t="s">
        <v>20</v>
      </c>
      <c r="J117" t="s">
        <v>66</v>
      </c>
      <c r="K117" t="s">
        <v>67</v>
      </c>
      <c r="L117">
        <v>3</v>
      </c>
      <c r="M117" t="s">
        <v>69</v>
      </c>
    </row>
    <row r="118" spans="1:13" x14ac:dyDescent="0.3">
      <c r="A118">
        <v>2022</v>
      </c>
      <c r="B118" s="50">
        <v>44627</v>
      </c>
      <c r="C118">
        <v>3</v>
      </c>
      <c r="D118" s="51" t="s">
        <v>22</v>
      </c>
      <c r="E118">
        <v>544</v>
      </c>
      <c r="F118" s="51" t="s">
        <v>23</v>
      </c>
      <c r="G118">
        <v>4</v>
      </c>
      <c r="H118">
        <v>48</v>
      </c>
      <c r="I118" s="51" t="s">
        <v>20</v>
      </c>
      <c r="J118" t="s">
        <v>66</v>
      </c>
      <c r="K118" t="s">
        <v>67</v>
      </c>
      <c r="L118">
        <v>3</v>
      </c>
      <c r="M118" t="s">
        <v>69</v>
      </c>
    </row>
    <row r="119" spans="1:13" x14ac:dyDescent="0.3">
      <c r="A119">
        <v>2022</v>
      </c>
      <c r="B119" s="50">
        <v>44628</v>
      </c>
      <c r="C119">
        <v>3</v>
      </c>
      <c r="D119" s="51" t="s">
        <v>22</v>
      </c>
      <c r="E119">
        <v>536</v>
      </c>
      <c r="F119" s="51" t="s">
        <v>48</v>
      </c>
      <c r="G119">
        <v>5</v>
      </c>
      <c r="H119">
        <v>25</v>
      </c>
      <c r="I119" s="51" t="s">
        <v>20</v>
      </c>
      <c r="J119" t="s">
        <v>66</v>
      </c>
      <c r="K119" t="s">
        <v>67</v>
      </c>
      <c r="L119">
        <v>3</v>
      </c>
      <c r="M119" t="s">
        <v>69</v>
      </c>
    </row>
    <row r="120" spans="1:13" x14ac:dyDescent="0.3">
      <c r="A120">
        <v>2022</v>
      </c>
      <c r="B120" s="50">
        <v>44628</v>
      </c>
      <c r="C120">
        <v>3</v>
      </c>
      <c r="D120" s="51" t="s">
        <v>22</v>
      </c>
      <c r="E120">
        <v>580</v>
      </c>
      <c r="F120" s="51" t="s">
        <v>25</v>
      </c>
      <c r="G120">
        <v>7</v>
      </c>
      <c r="H120">
        <v>56</v>
      </c>
      <c r="I120" s="51" t="s">
        <v>20</v>
      </c>
      <c r="J120" t="s">
        <v>66</v>
      </c>
      <c r="K120" t="s">
        <v>67</v>
      </c>
      <c r="L120">
        <v>3</v>
      </c>
      <c r="M120" t="s">
        <v>69</v>
      </c>
    </row>
    <row r="121" spans="1:13" x14ac:dyDescent="0.3">
      <c r="A121">
        <v>2022</v>
      </c>
      <c r="B121" s="50">
        <v>44634</v>
      </c>
      <c r="C121">
        <v>3</v>
      </c>
      <c r="D121" s="51" t="s">
        <v>22</v>
      </c>
      <c r="E121">
        <v>514</v>
      </c>
      <c r="F121" s="51" t="s">
        <v>40</v>
      </c>
      <c r="G121">
        <v>9</v>
      </c>
      <c r="H121">
        <v>58.5</v>
      </c>
      <c r="I121" s="51" t="s">
        <v>20</v>
      </c>
      <c r="J121" t="s">
        <v>66</v>
      </c>
      <c r="K121" t="s">
        <v>67</v>
      </c>
      <c r="L121">
        <v>3</v>
      </c>
      <c r="M121" t="s">
        <v>69</v>
      </c>
    </row>
    <row r="122" spans="1:13" x14ac:dyDescent="0.3">
      <c r="A122">
        <v>2022</v>
      </c>
      <c r="B122" s="50">
        <v>44634</v>
      </c>
      <c r="C122">
        <v>3</v>
      </c>
      <c r="D122" s="51" t="s">
        <v>22</v>
      </c>
      <c r="E122">
        <v>548</v>
      </c>
      <c r="F122" s="51" t="s">
        <v>37</v>
      </c>
      <c r="G122">
        <v>10</v>
      </c>
      <c r="H122">
        <v>20</v>
      </c>
      <c r="I122" s="51" t="s">
        <v>20</v>
      </c>
      <c r="J122" t="s">
        <v>66</v>
      </c>
      <c r="K122" t="s">
        <v>67</v>
      </c>
      <c r="L122">
        <v>3</v>
      </c>
      <c r="M122" t="s">
        <v>69</v>
      </c>
    </row>
    <row r="123" spans="1:13" x14ac:dyDescent="0.3">
      <c r="A123">
        <v>2022</v>
      </c>
      <c r="B123" s="50">
        <v>44636</v>
      </c>
      <c r="C123">
        <v>3</v>
      </c>
      <c r="D123" s="51" t="s">
        <v>22</v>
      </c>
      <c r="E123">
        <v>540</v>
      </c>
      <c r="F123" s="51" t="s">
        <v>42</v>
      </c>
      <c r="G123">
        <v>5</v>
      </c>
      <c r="H123">
        <v>37.5</v>
      </c>
      <c r="I123" s="51" t="s">
        <v>20</v>
      </c>
      <c r="J123" t="s">
        <v>66</v>
      </c>
      <c r="K123" t="s">
        <v>67</v>
      </c>
      <c r="L123">
        <v>3</v>
      </c>
      <c r="M123" t="s">
        <v>69</v>
      </c>
    </row>
    <row r="124" spans="1:13" x14ac:dyDescent="0.3">
      <c r="A124">
        <v>2022</v>
      </c>
      <c r="B124" s="50">
        <v>44636</v>
      </c>
      <c r="C124">
        <v>3</v>
      </c>
      <c r="D124" s="51" t="s">
        <v>22</v>
      </c>
      <c r="E124">
        <v>560</v>
      </c>
      <c r="F124" s="51" t="s">
        <v>45</v>
      </c>
      <c r="G124">
        <v>5</v>
      </c>
      <c r="H124">
        <v>40</v>
      </c>
      <c r="I124" s="51" t="s">
        <v>20</v>
      </c>
      <c r="J124" t="s">
        <v>66</v>
      </c>
      <c r="K124" t="s">
        <v>67</v>
      </c>
      <c r="L124">
        <v>3</v>
      </c>
      <c r="M124" t="s">
        <v>69</v>
      </c>
    </row>
    <row r="125" spans="1:13" x14ac:dyDescent="0.3">
      <c r="A125">
        <v>2022</v>
      </c>
      <c r="B125" s="50">
        <v>44638</v>
      </c>
      <c r="C125">
        <v>3</v>
      </c>
      <c r="D125" s="51" t="s">
        <v>22</v>
      </c>
      <c r="E125">
        <v>516</v>
      </c>
      <c r="F125" s="51" t="s">
        <v>39</v>
      </c>
      <c r="G125">
        <v>7</v>
      </c>
      <c r="H125">
        <v>31.5</v>
      </c>
      <c r="I125" s="51" t="s">
        <v>20</v>
      </c>
      <c r="J125" t="s">
        <v>66</v>
      </c>
      <c r="K125" t="s">
        <v>67</v>
      </c>
      <c r="L125">
        <v>3</v>
      </c>
      <c r="M125" t="s">
        <v>69</v>
      </c>
    </row>
    <row r="126" spans="1:13" x14ac:dyDescent="0.3">
      <c r="A126">
        <v>2022</v>
      </c>
      <c r="B126" s="50">
        <v>44638</v>
      </c>
      <c r="C126">
        <v>3</v>
      </c>
      <c r="D126" s="51" t="s">
        <v>22</v>
      </c>
      <c r="E126">
        <v>530</v>
      </c>
      <c r="F126" s="51" t="s">
        <v>41</v>
      </c>
      <c r="G126">
        <v>5</v>
      </c>
      <c r="H126">
        <v>42.5</v>
      </c>
      <c r="I126" s="51" t="s">
        <v>20</v>
      </c>
      <c r="J126" t="s">
        <v>66</v>
      </c>
      <c r="K126" t="s">
        <v>67</v>
      </c>
      <c r="L126">
        <v>3</v>
      </c>
      <c r="M126" t="s">
        <v>69</v>
      </c>
    </row>
    <row r="127" spans="1:13" x14ac:dyDescent="0.3">
      <c r="A127">
        <v>2022</v>
      </c>
      <c r="B127" s="50">
        <v>44639</v>
      </c>
      <c r="C127">
        <v>3</v>
      </c>
      <c r="D127" s="51" t="s">
        <v>22</v>
      </c>
      <c r="E127">
        <v>524</v>
      </c>
      <c r="F127" s="51" t="s">
        <v>43</v>
      </c>
      <c r="G127">
        <v>3</v>
      </c>
      <c r="H127">
        <v>6</v>
      </c>
      <c r="I127" s="51" t="s">
        <v>20</v>
      </c>
      <c r="J127" t="s">
        <v>66</v>
      </c>
      <c r="K127" t="s">
        <v>67</v>
      </c>
      <c r="L127">
        <v>3</v>
      </c>
      <c r="M127" t="s">
        <v>69</v>
      </c>
    </row>
    <row r="128" spans="1:13" x14ac:dyDescent="0.3">
      <c r="A128">
        <v>2022</v>
      </c>
      <c r="B128" s="50">
        <v>44639</v>
      </c>
      <c r="C128">
        <v>3</v>
      </c>
      <c r="D128" s="51" t="s">
        <v>22</v>
      </c>
      <c r="E128">
        <v>580</v>
      </c>
      <c r="F128" s="51" t="s">
        <v>25</v>
      </c>
      <c r="G128">
        <v>5</v>
      </c>
      <c r="H128">
        <v>40</v>
      </c>
      <c r="I128" s="51" t="s">
        <v>20</v>
      </c>
      <c r="J128" t="s">
        <v>66</v>
      </c>
      <c r="K128" t="s">
        <v>67</v>
      </c>
      <c r="L128">
        <v>3</v>
      </c>
      <c r="M128" t="s">
        <v>69</v>
      </c>
    </row>
    <row r="129" spans="1:13" x14ac:dyDescent="0.3">
      <c r="A129">
        <v>2022</v>
      </c>
      <c r="B129" s="50">
        <v>44642</v>
      </c>
      <c r="C129">
        <v>3</v>
      </c>
      <c r="D129" s="51" t="s">
        <v>22</v>
      </c>
      <c r="E129">
        <v>518</v>
      </c>
      <c r="F129" s="51" t="s">
        <v>35</v>
      </c>
      <c r="G129">
        <v>4</v>
      </c>
      <c r="H129">
        <v>16</v>
      </c>
      <c r="I129" s="51" t="s">
        <v>20</v>
      </c>
      <c r="J129" t="s">
        <v>66</v>
      </c>
      <c r="K129" t="s">
        <v>67</v>
      </c>
      <c r="L129">
        <v>3</v>
      </c>
      <c r="M129" t="s">
        <v>69</v>
      </c>
    </row>
    <row r="130" spans="1:13" x14ac:dyDescent="0.3">
      <c r="A130">
        <v>2022</v>
      </c>
      <c r="B130" s="50">
        <v>44642</v>
      </c>
      <c r="C130">
        <v>3</v>
      </c>
      <c r="D130" s="51" t="s">
        <v>22</v>
      </c>
      <c r="E130">
        <v>524</v>
      </c>
      <c r="F130" s="51" t="s">
        <v>43</v>
      </c>
      <c r="G130">
        <v>3</v>
      </c>
      <c r="H130">
        <v>6</v>
      </c>
      <c r="I130" s="51" t="s">
        <v>20</v>
      </c>
      <c r="J130" t="s">
        <v>66</v>
      </c>
      <c r="K130" t="s">
        <v>67</v>
      </c>
      <c r="L130">
        <v>3</v>
      </c>
      <c r="M130" t="s">
        <v>69</v>
      </c>
    </row>
    <row r="131" spans="1:13" x14ac:dyDescent="0.3">
      <c r="A131">
        <v>2022</v>
      </c>
      <c r="B131" s="50">
        <v>44644</v>
      </c>
      <c r="C131">
        <v>3</v>
      </c>
      <c r="D131" s="51" t="s">
        <v>22</v>
      </c>
      <c r="E131">
        <v>580</v>
      </c>
      <c r="F131" s="51" t="s">
        <v>25</v>
      </c>
      <c r="G131">
        <v>6</v>
      </c>
      <c r="H131">
        <v>48</v>
      </c>
      <c r="I131" s="51" t="s">
        <v>20</v>
      </c>
      <c r="J131" t="s">
        <v>66</v>
      </c>
      <c r="K131" t="s">
        <v>67</v>
      </c>
      <c r="L131">
        <v>3</v>
      </c>
      <c r="M131" t="s">
        <v>69</v>
      </c>
    </row>
    <row r="132" spans="1:13" x14ac:dyDescent="0.3">
      <c r="A132">
        <v>2022</v>
      </c>
      <c r="B132" s="50">
        <v>44646</v>
      </c>
      <c r="C132">
        <v>3</v>
      </c>
      <c r="D132" s="51" t="s">
        <v>22</v>
      </c>
      <c r="E132">
        <v>510</v>
      </c>
      <c r="F132" s="51" t="s">
        <v>38</v>
      </c>
      <c r="G132">
        <v>6</v>
      </c>
      <c r="H132">
        <v>36</v>
      </c>
      <c r="I132" s="51" t="s">
        <v>20</v>
      </c>
      <c r="J132" t="s">
        <v>66</v>
      </c>
      <c r="K132" t="s">
        <v>67</v>
      </c>
      <c r="L132">
        <v>3</v>
      </c>
      <c r="M132" t="s">
        <v>69</v>
      </c>
    </row>
    <row r="133" spans="1:13" x14ac:dyDescent="0.3">
      <c r="A133">
        <v>2022</v>
      </c>
      <c r="B133" s="50">
        <v>44648</v>
      </c>
      <c r="C133">
        <v>3</v>
      </c>
      <c r="D133" s="51" t="s">
        <v>22</v>
      </c>
      <c r="E133">
        <v>562</v>
      </c>
      <c r="F133" s="51" t="s">
        <v>44</v>
      </c>
      <c r="G133">
        <v>5</v>
      </c>
      <c r="H133">
        <v>25</v>
      </c>
      <c r="I133" s="51" t="s">
        <v>20</v>
      </c>
      <c r="J133" t="s">
        <v>66</v>
      </c>
      <c r="K133" t="s">
        <v>67</v>
      </c>
      <c r="L133">
        <v>3</v>
      </c>
      <c r="M133" t="s">
        <v>69</v>
      </c>
    </row>
    <row r="134" spans="1:13" x14ac:dyDescent="0.3">
      <c r="A134">
        <v>2022</v>
      </c>
      <c r="B134" s="50">
        <v>44648</v>
      </c>
      <c r="C134">
        <v>3</v>
      </c>
      <c r="D134" s="51" t="s">
        <v>22</v>
      </c>
      <c r="E134">
        <v>510</v>
      </c>
      <c r="F134" s="51" t="s">
        <v>38</v>
      </c>
      <c r="G134">
        <v>6</v>
      </c>
      <c r="H134">
        <v>36</v>
      </c>
      <c r="I134" s="51" t="s">
        <v>20</v>
      </c>
      <c r="J134" t="s">
        <v>66</v>
      </c>
      <c r="K134" t="s">
        <v>67</v>
      </c>
      <c r="L134">
        <v>3</v>
      </c>
      <c r="M134" t="s">
        <v>69</v>
      </c>
    </row>
    <row r="135" spans="1:13" x14ac:dyDescent="0.3">
      <c r="A135">
        <v>2022</v>
      </c>
      <c r="B135" s="50">
        <v>44655</v>
      </c>
      <c r="C135">
        <v>4</v>
      </c>
      <c r="D135" s="51" t="s">
        <v>24</v>
      </c>
      <c r="E135">
        <v>532</v>
      </c>
      <c r="F135" s="51" t="s">
        <v>49</v>
      </c>
      <c r="G135">
        <v>2</v>
      </c>
      <c r="H135">
        <v>20</v>
      </c>
      <c r="I135" s="51" t="s">
        <v>20</v>
      </c>
      <c r="J135" t="s">
        <v>66</v>
      </c>
      <c r="K135" t="s">
        <v>70</v>
      </c>
      <c r="L135">
        <v>4</v>
      </c>
      <c r="M135" t="s">
        <v>71</v>
      </c>
    </row>
    <row r="136" spans="1:13" x14ac:dyDescent="0.3">
      <c r="A136">
        <v>2022</v>
      </c>
      <c r="B136" s="50">
        <v>44657</v>
      </c>
      <c r="C136">
        <v>4</v>
      </c>
      <c r="D136" s="51" t="s">
        <v>24</v>
      </c>
      <c r="E136">
        <v>536</v>
      </c>
      <c r="F136" s="51" t="s">
        <v>48</v>
      </c>
      <c r="G136">
        <v>5</v>
      </c>
      <c r="H136">
        <v>25</v>
      </c>
      <c r="I136" s="51" t="s">
        <v>20</v>
      </c>
      <c r="J136" t="s">
        <v>66</v>
      </c>
      <c r="K136" t="s">
        <v>70</v>
      </c>
      <c r="L136">
        <v>4</v>
      </c>
      <c r="M136" t="s">
        <v>71</v>
      </c>
    </row>
    <row r="137" spans="1:13" x14ac:dyDescent="0.3">
      <c r="A137">
        <v>2022</v>
      </c>
      <c r="B137" s="50">
        <v>44659</v>
      </c>
      <c r="C137">
        <v>4</v>
      </c>
      <c r="D137" s="51" t="s">
        <v>24</v>
      </c>
      <c r="E137">
        <v>514</v>
      </c>
      <c r="F137" s="51" t="s">
        <v>40</v>
      </c>
      <c r="G137">
        <v>8</v>
      </c>
      <c r="H137">
        <v>52</v>
      </c>
      <c r="I137" s="51" t="s">
        <v>20</v>
      </c>
      <c r="J137" t="s">
        <v>66</v>
      </c>
      <c r="K137" t="s">
        <v>70</v>
      </c>
      <c r="L137">
        <v>4</v>
      </c>
      <c r="M137" t="s">
        <v>71</v>
      </c>
    </row>
    <row r="138" spans="1:13" x14ac:dyDescent="0.3">
      <c r="A138">
        <v>2022</v>
      </c>
      <c r="B138" s="50">
        <v>44659</v>
      </c>
      <c r="C138">
        <v>4</v>
      </c>
      <c r="D138" s="51" t="s">
        <v>24</v>
      </c>
      <c r="E138">
        <v>548</v>
      </c>
      <c r="F138" s="51" t="s">
        <v>37</v>
      </c>
      <c r="G138">
        <v>10</v>
      </c>
      <c r="H138">
        <v>20</v>
      </c>
      <c r="I138" s="51" t="s">
        <v>20</v>
      </c>
      <c r="J138" t="s">
        <v>66</v>
      </c>
      <c r="K138" t="s">
        <v>70</v>
      </c>
      <c r="L138">
        <v>4</v>
      </c>
      <c r="M138" t="s">
        <v>71</v>
      </c>
    </row>
    <row r="139" spans="1:13" x14ac:dyDescent="0.3">
      <c r="A139">
        <v>2022</v>
      </c>
      <c r="B139" s="50">
        <v>44663</v>
      </c>
      <c r="C139">
        <v>4</v>
      </c>
      <c r="D139" s="51" t="s">
        <v>24</v>
      </c>
      <c r="E139">
        <v>540</v>
      </c>
      <c r="F139" s="51" t="s">
        <v>42</v>
      </c>
      <c r="G139">
        <v>5</v>
      </c>
      <c r="H139">
        <v>37.5</v>
      </c>
      <c r="I139" s="51" t="s">
        <v>20</v>
      </c>
      <c r="J139" t="s">
        <v>66</v>
      </c>
      <c r="K139" t="s">
        <v>70</v>
      </c>
      <c r="L139">
        <v>4</v>
      </c>
      <c r="M139" t="s">
        <v>71</v>
      </c>
    </row>
    <row r="140" spans="1:13" x14ac:dyDescent="0.3">
      <c r="A140">
        <v>2022</v>
      </c>
      <c r="B140" s="50">
        <v>44663</v>
      </c>
      <c r="C140">
        <v>4</v>
      </c>
      <c r="D140" s="51" t="s">
        <v>24</v>
      </c>
      <c r="E140">
        <v>560</v>
      </c>
      <c r="F140" s="51" t="s">
        <v>45</v>
      </c>
      <c r="G140">
        <v>5</v>
      </c>
      <c r="H140">
        <v>40</v>
      </c>
      <c r="I140" s="51" t="s">
        <v>20</v>
      </c>
      <c r="J140" t="s">
        <v>66</v>
      </c>
      <c r="K140" t="s">
        <v>70</v>
      </c>
      <c r="L140">
        <v>4</v>
      </c>
      <c r="M140" t="s">
        <v>71</v>
      </c>
    </row>
    <row r="141" spans="1:13" x14ac:dyDescent="0.3">
      <c r="A141">
        <v>2022</v>
      </c>
      <c r="B141" s="50">
        <v>44665</v>
      </c>
      <c r="C141">
        <v>4</v>
      </c>
      <c r="D141" s="51" t="s">
        <v>24</v>
      </c>
      <c r="E141">
        <v>516</v>
      </c>
      <c r="F141" s="51" t="s">
        <v>39</v>
      </c>
      <c r="G141">
        <v>7</v>
      </c>
      <c r="H141">
        <v>31.5</v>
      </c>
      <c r="I141" s="51" t="s">
        <v>20</v>
      </c>
      <c r="J141" t="s">
        <v>66</v>
      </c>
      <c r="K141" t="s">
        <v>70</v>
      </c>
      <c r="L141">
        <v>4</v>
      </c>
      <c r="M141" t="s">
        <v>71</v>
      </c>
    </row>
    <row r="142" spans="1:13" x14ac:dyDescent="0.3">
      <c r="A142">
        <v>2022</v>
      </c>
      <c r="B142" s="50">
        <v>44665</v>
      </c>
      <c r="C142">
        <v>4</v>
      </c>
      <c r="D142" s="51" t="s">
        <v>24</v>
      </c>
      <c r="E142">
        <v>530</v>
      </c>
      <c r="F142" s="51" t="s">
        <v>41</v>
      </c>
      <c r="G142">
        <v>5</v>
      </c>
      <c r="H142">
        <v>42.5</v>
      </c>
      <c r="I142" s="51" t="s">
        <v>20</v>
      </c>
      <c r="J142" t="s">
        <v>66</v>
      </c>
      <c r="K142" t="s">
        <v>70</v>
      </c>
      <c r="L142">
        <v>4</v>
      </c>
      <c r="M142" t="s">
        <v>71</v>
      </c>
    </row>
    <row r="143" spans="1:13" x14ac:dyDescent="0.3">
      <c r="A143">
        <v>2022</v>
      </c>
      <c r="B143" s="50">
        <v>44669</v>
      </c>
      <c r="C143">
        <v>4</v>
      </c>
      <c r="D143" s="51" t="s">
        <v>24</v>
      </c>
      <c r="E143">
        <v>518</v>
      </c>
      <c r="F143" s="51" t="s">
        <v>35</v>
      </c>
      <c r="G143">
        <v>4</v>
      </c>
      <c r="H143">
        <v>16</v>
      </c>
      <c r="I143" s="51" t="s">
        <v>20</v>
      </c>
      <c r="J143" t="s">
        <v>66</v>
      </c>
      <c r="K143" t="s">
        <v>70</v>
      </c>
      <c r="L143">
        <v>4</v>
      </c>
      <c r="M143" t="s">
        <v>71</v>
      </c>
    </row>
    <row r="144" spans="1:13" x14ac:dyDescent="0.3">
      <c r="A144">
        <v>2022</v>
      </c>
      <c r="B144" s="50">
        <v>44669</v>
      </c>
      <c r="C144">
        <v>4</v>
      </c>
      <c r="D144" s="51" t="s">
        <v>24</v>
      </c>
      <c r="E144">
        <v>524</v>
      </c>
      <c r="F144" s="51" t="s">
        <v>43</v>
      </c>
      <c r="G144">
        <v>3</v>
      </c>
      <c r="H144">
        <v>6</v>
      </c>
      <c r="I144" s="51" t="s">
        <v>20</v>
      </c>
      <c r="J144" t="s">
        <v>66</v>
      </c>
      <c r="K144" t="s">
        <v>70</v>
      </c>
      <c r="L144">
        <v>4</v>
      </c>
      <c r="M144" t="s">
        <v>71</v>
      </c>
    </row>
    <row r="145" spans="1:13" x14ac:dyDescent="0.3">
      <c r="A145">
        <v>2022</v>
      </c>
      <c r="B145" s="50">
        <v>44671</v>
      </c>
      <c r="C145">
        <v>4</v>
      </c>
      <c r="D145" s="51" t="s">
        <v>24</v>
      </c>
      <c r="E145">
        <v>580</v>
      </c>
      <c r="F145" s="51" t="s">
        <v>25</v>
      </c>
      <c r="G145">
        <v>6</v>
      </c>
      <c r="H145">
        <v>48</v>
      </c>
      <c r="I145" s="51" t="s">
        <v>20</v>
      </c>
      <c r="J145" t="s">
        <v>66</v>
      </c>
      <c r="K145" t="s">
        <v>70</v>
      </c>
      <c r="L145">
        <v>4</v>
      </c>
      <c r="M145" t="s">
        <v>71</v>
      </c>
    </row>
    <row r="146" spans="1:13" x14ac:dyDescent="0.3">
      <c r="A146">
        <v>2022</v>
      </c>
      <c r="B146" s="50">
        <v>44673</v>
      </c>
      <c r="C146">
        <v>4</v>
      </c>
      <c r="D146" s="51" t="s">
        <v>24</v>
      </c>
      <c r="E146">
        <v>510</v>
      </c>
      <c r="F146" s="51" t="s">
        <v>38</v>
      </c>
      <c r="G146">
        <v>6</v>
      </c>
      <c r="H146">
        <v>36</v>
      </c>
      <c r="I146" s="51" t="s">
        <v>20</v>
      </c>
      <c r="J146" t="s">
        <v>66</v>
      </c>
      <c r="K146" t="s">
        <v>70</v>
      </c>
      <c r="L146">
        <v>4</v>
      </c>
      <c r="M146" t="s">
        <v>71</v>
      </c>
    </row>
    <row r="147" spans="1:13" x14ac:dyDescent="0.3">
      <c r="A147">
        <v>2022</v>
      </c>
      <c r="B147" s="50">
        <v>44677</v>
      </c>
      <c r="C147">
        <v>4</v>
      </c>
      <c r="D147" s="51" t="s">
        <v>24</v>
      </c>
      <c r="E147">
        <v>562</v>
      </c>
      <c r="F147" s="51" t="s">
        <v>44</v>
      </c>
      <c r="G147">
        <v>5</v>
      </c>
      <c r="H147">
        <v>25</v>
      </c>
      <c r="I147" s="51" t="s">
        <v>20</v>
      </c>
      <c r="J147" t="s">
        <v>66</v>
      </c>
      <c r="K147" t="s">
        <v>70</v>
      </c>
      <c r="L147">
        <v>4</v>
      </c>
      <c r="M147" t="s">
        <v>71</v>
      </c>
    </row>
    <row r="148" spans="1:13" x14ac:dyDescent="0.3">
      <c r="A148">
        <v>2022</v>
      </c>
      <c r="B148" s="50">
        <v>44677</v>
      </c>
      <c r="C148">
        <v>4</v>
      </c>
      <c r="D148" s="51" t="s">
        <v>24</v>
      </c>
      <c r="E148">
        <v>510</v>
      </c>
      <c r="F148" s="51" t="s">
        <v>38</v>
      </c>
      <c r="G148">
        <v>6</v>
      </c>
      <c r="H148">
        <v>36</v>
      </c>
      <c r="I148" s="51" t="s">
        <v>20</v>
      </c>
      <c r="J148" t="s">
        <v>66</v>
      </c>
      <c r="K148" t="s">
        <v>70</v>
      </c>
      <c r="L148">
        <v>4</v>
      </c>
      <c r="M148" t="s">
        <v>71</v>
      </c>
    </row>
    <row r="149" spans="1:13" x14ac:dyDescent="0.3">
      <c r="A149">
        <v>2022</v>
      </c>
      <c r="B149" s="50">
        <v>44683</v>
      </c>
      <c r="C149">
        <v>5</v>
      </c>
      <c r="D149" s="51" t="s">
        <v>26</v>
      </c>
      <c r="E149">
        <v>532</v>
      </c>
      <c r="F149" s="51" t="s">
        <v>49</v>
      </c>
      <c r="G149">
        <v>2</v>
      </c>
      <c r="H149">
        <v>20</v>
      </c>
      <c r="I149" s="51" t="s">
        <v>20</v>
      </c>
      <c r="J149" t="s">
        <v>66</v>
      </c>
      <c r="K149" t="s">
        <v>70</v>
      </c>
      <c r="L149">
        <v>5</v>
      </c>
      <c r="M149" t="s">
        <v>72</v>
      </c>
    </row>
    <row r="150" spans="1:13" x14ac:dyDescent="0.3">
      <c r="A150">
        <v>2022</v>
      </c>
      <c r="B150" s="50">
        <v>44683</v>
      </c>
      <c r="C150">
        <v>5</v>
      </c>
      <c r="D150" s="51" t="s">
        <v>26</v>
      </c>
      <c r="E150">
        <v>544</v>
      </c>
      <c r="F150" s="51" t="s">
        <v>23</v>
      </c>
      <c r="G150">
        <v>3</v>
      </c>
      <c r="H150">
        <v>36</v>
      </c>
      <c r="I150" s="51" t="s">
        <v>20</v>
      </c>
      <c r="J150" t="s">
        <v>66</v>
      </c>
      <c r="K150" t="s">
        <v>70</v>
      </c>
      <c r="L150">
        <v>5</v>
      </c>
      <c r="M150" t="s">
        <v>72</v>
      </c>
    </row>
    <row r="151" spans="1:13" x14ac:dyDescent="0.3">
      <c r="A151">
        <v>2022</v>
      </c>
      <c r="B151" s="50">
        <v>44685</v>
      </c>
      <c r="C151">
        <v>5</v>
      </c>
      <c r="D151" s="51" t="s">
        <v>26</v>
      </c>
      <c r="E151">
        <v>536</v>
      </c>
      <c r="F151" s="51" t="s">
        <v>48</v>
      </c>
      <c r="G151">
        <v>5</v>
      </c>
      <c r="H151">
        <v>25</v>
      </c>
      <c r="I151" s="51" t="s">
        <v>20</v>
      </c>
      <c r="J151" t="s">
        <v>66</v>
      </c>
      <c r="K151" t="s">
        <v>70</v>
      </c>
      <c r="L151">
        <v>5</v>
      </c>
      <c r="M151" t="s">
        <v>72</v>
      </c>
    </row>
    <row r="152" spans="1:13" x14ac:dyDescent="0.3">
      <c r="A152">
        <v>2022</v>
      </c>
      <c r="B152" s="50">
        <v>44687</v>
      </c>
      <c r="C152">
        <v>5</v>
      </c>
      <c r="D152" s="51" t="s">
        <v>26</v>
      </c>
      <c r="E152">
        <v>514</v>
      </c>
      <c r="F152" s="51" t="s">
        <v>40</v>
      </c>
      <c r="G152">
        <v>7</v>
      </c>
      <c r="H152">
        <v>45.5</v>
      </c>
      <c r="I152" s="51" t="s">
        <v>20</v>
      </c>
      <c r="J152" t="s">
        <v>66</v>
      </c>
      <c r="K152" t="s">
        <v>70</v>
      </c>
      <c r="L152">
        <v>5</v>
      </c>
      <c r="M152" t="s">
        <v>72</v>
      </c>
    </row>
    <row r="153" spans="1:13" x14ac:dyDescent="0.3">
      <c r="A153">
        <v>2022</v>
      </c>
      <c r="B153" s="50">
        <v>44687</v>
      </c>
      <c r="C153">
        <v>5</v>
      </c>
      <c r="D153" s="51" t="s">
        <v>26</v>
      </c>
      <c r="E153">
        <v>548</v>
      </c>
      <c r="F153" s="51" t="s">
        <v>37</v>
      </c>
      <c r="G153">
        <v>10</v>
      </c>
      <c r="H153">
        <v>20</v>
      </c>
      <c r="I153" s="51" t="s">
        <v>20</v>
      </c>
      <c r="J153" t="s">
        <v>66</v>
      </c>
      <c r="K153" t="s">
        <v>70</v>
      </c>
      <c r="L153">
        <v>5</v>
      </c>
      <c r="M153" t="s">
        <v>72</v>
      </c>
    </row>
    <row r="154" spans="1:13" x14ac:dyDescent="0.3">
      <c r="A154">
        <v>2022</v>
      </c>
      <c r="B154" s="50">
        <v>44690</v>
      </c>
      <c r="C154">
        <v>5</v>
      </c>
      <c r="D154" s="51" t="s">
        <v>26</v>
      </c>
      <c r="E154">
        <v>540</v>
      </c>
      <c r="F154" s="51" t="s">
        <v>42</v>
      </c>
      <c r="G154">
        <v>5</v>
      </c>
      <c r="H154">
        <v>37.5</v>
      </c>
      <c r="I154" s="51" t="s">
        <v>20</v>
      </c>
      <c r="J154" t="s">
        <v>66</v>
      </c>
      <c r="K154" t="s">
        <v>70</v>
      </c>
      <c r="L154">
        <v>5</v>
      </c>
      <c r="M154" t="s">
        <v>72</v>
      </c>
    </row>
    <row r="155" spans="1:13" x14ac:dyDescent="0.3">
      <c r="A155">
        <v>2022</v>
      </c>
      <c r="B155" s="50">
        <v>44690</v>
      </c>
      <c r="C155">
        <v>5</v>
      </c>
      <c r="D155" s="51" t="s">
        <v>26</v>
      </c>
      <c r="E155">
        <v>560</v>
      </c>
      <c r="F155" s="51" t="s">
        <v>45</v>
      </c>
      <c r="G155">
        <v>5</v>
      </c>
      <c r="H155">
        <v>40</v>
      </c>
      <c r="I155" s="51" t="s">
        <v>20</v>
      </c>
      <c r="J155" t="s">
        <v>66</v>
      </c>
      <c r="K155" t="s">
        <v>70</v>
      </c>
      <c r="L155">
        <v>5</v>
      </c>
      <c r="M155" t="s">
        <v>72</v>
      </c>
    </row>
    <row r="156" spans="1:13" x14ac:dyDescent="0.3">
      <c r="A156">
        <v>2022</v>
      </c>
      <c r="B156" s="50">
        <v>44697</v>
      </c>
      <c r="C156">
        <v>5</v>
      </c>
      <c r="D156" s="51" t="s">
        <v>26</v>
      </c>
      <c r="E156">
        <v>516</v>
      </c>
      <c r="F156" s="51" t="s">
        <v>39</v>
      </c>
      <c r="G156">
        <v>7</v>
      </c>
      <c r="H156">
        <v>31.5</v>
      </c>
      <c r="I156" s="51" t="s">
        <v>20</v>
      </c>
      <c r="J156" t="s">
        <v>66</v>
      </c>
      <c r="K156" t="s">
        <v>70</v>
      </c>
      <c r="L156">
        <v>5</v>
      </c>
      <c r="M156" t="s">
        <v>72</v>
      </c>
    </row>
    <row r="157" spans="1:13" x14ac:dyDescent="0.3">
      <c r="A157">
        <v>2022</v>
      </c>
      <c r="B157" s="50">
        <v>44697</v>
      </c>
      <c r="C157">
        <v>5</v>
      </c>
      <c r="D157" s="51" t="s">
        <v>26</v>
      </c>
      <c r="E157">
        <v>530</v>
      </c>
      <c r="F157" s="51" t="s">
        <v>41</v>
      </c>
      <c r="G157">
        <v>5</v>
      </c>
      <c r="H157">
        <v>42.5</v>
      </c>
      <c r="I157" s="51" t="s">
        <v>20</v>
      </c>
      <c r="J157" t="s">
        <v>66</v>
      </c>
      <c r="K157" t="s">
        <v>70</v>
      </c>
      <c r="L157">
        <v>5</v>
      </c>
      <c r="M157" t="s">
        <v>72</v>
      </c>
    </row>
    <row r="158" spans="1:13" x14ac:dyDescent="0.3">
      <c r="A158">
        <v>2022</v>
      </c>
      <c r="B158" s="50">
        <v>44699</v>
      </c>
      <c r="C158">
        <v>5</v>
      </c>
      <c r="D158" s="51" t="s">
        <v>26</v>
      </c>
      <c r="E158">
        <v>518</v>
      </c>
      <c r="F158" s="51" t="s">
        <v>35</v>
      </c>
      <c r="G158">
        <v>4</v>
      </c>
      <c r="H158">
        <v>16</v>
      </c>
      <c r="I158" s="51" t="s">
        <v>20</v>
      </c>
      <c r="J158" t="s">
        <v>66</v>
      </c>
      <c r="K158" t="s">
        <v>70</v>
      </c>
      <c r="L158">
        <v>5</v>
      </c>
      <c r="M158" t="s">
        <v>72</v>
      </c>
    </row>
    <row r="159" spans="1:13" x14ac:dyDescent="0.3">
      <c r="A159">
        <v>2022</v>
      </c>
      <c r="B159" s="50">
        <v>44699</v>
      </c>
      <c r="C159">
        <v>5</v>
      </c>
      <c r="D159" s="51" t="s">
        <v>26</v>
      </c>
      <c r="E159">
        <v>524</v>
      </c>
      <c r="F159" s="51" t="s">
        <v>43</v>
      </c>
      <c r="G159">
        <v>3</v>
      </c>
      <c r="H159">
        <v>6</v>
      </c>
      <c r="I159" s="51" t="s">
        <v>20</v>
      </c>
      <c r="J159" t="s">
        <v>66</v>
      </c>
      <c r="K159" t="s">
        <v>70</v>
      </c>
      <c r="L159">
        <v>5</v>
      </c>
      <c r="M159" t="s">
        <v>72</v>
      </c>
    </row>
    <row r="160" spans="1:13" x14ac:dyDescent="0.3">
      <c r="A160">
        <v>2022</v>
      </c>
      <c r="B160" s="50">
        <v>44701</v>
      </c>
      <c r="C160">
        <v>5</v>
      </c>
      <c r="D160" s="51" t="s">
        <v>26</v>
      </c>
      <c r="E160">
        <v>580</v>
      </c>
      <c r="F160" s="51" t="s">
        <v>25</v>
      </c>
      <c r="G160">
        <v>6</v>
      </c>
      <c r="H160">
        <v>48</v>
      </c>
      <c r="I160" s="51" t="s">
        <v>20</v>
      </c>
      <c r="J160" t="s">
        <v>66</v>
      </c>
      <c r="K160" t="s">
        <v>70</v>
      </c>
      <c r="L160">
        <v>5</v>
      </c>
      <c r="M160" t="s">
        <v>72</v>
      </c>
    </row>
    <row r="161" spans="1:13" x14ac:dyDescent="0.3">
      <c r="A161">
        <v>2022</v>
      </c>
      <c r="B161" s="50">
        <v>44704</v>
      </c>
      <c r="C161">
        <v>5</v>
      </c>
      <c r="D161" s="51" t="s">
        <v>26</v>
      </c>
      <c r="E161">
        <v>510</v>
      </c>
      <c r="F161" s="51" t="s">
        <v>38</v>
      </c>
      <c r="G161">
        <v>6</v>
      </c>
      <c r="H161">
        <v>36</v>
      </c>
      <c r="I161" s="51" t="s">
        <v>20</v>
      </c>
      <c r="J161" t="s">
        <v>66</v>
      </c>
      <c r="K161" t="s">
        <v>70</v>
      </c>
      <c r="L161">
        <v>5</v>
      </c>
      <c r="M161" t="s">
        <v>72</v>
      </c>
    </row>
    <row r="162" spans="1:13" x14ac:dyDescent="0.3">
      <c r="A162">
        <v>2022</v>
      </c>
      <c r="B162" s="50">
        <v>44706</v>
      </c>
      <c r="C162">
        <v>5</v>
      </c>
      <c r="D162" s="51" t="s">
        <v>26</v>
      </c>
      <c r="E162">
        <v>562</v>
      </c>
      <c r="F162" s="51" t="s">
        <v>44</v>
      </c>
      <c r="G162">
        <v>5</v>
      </c>
      <c r="H162">
        <v>25</v>
      </c>
      <c r="I162" s="51" t="s">
        <v>20</v>
      </c>
      <c r="J162" t="s">
        <v>66</v>
      </c>
      <c r="K162" t="s">
        <v>70</v>
      </c>
      <c r="L162">
        <v>5</v>
      </c>
      <c r="M162" t="s">
        <v>72</v>
      </c>
    </row>
    <row r="163" spans="1:13" x14ac:dyDescent="0.3">
      <c r="A163">
        <v>2022</v>
      </c>
      <c r="B163" s="50">
        <v>44706</v>
      </c>
      <c r="C163">
        <v>5</v>
      </c>
      <c r="D163" s="51" t="s">
        <v>26</v>
      </c>
      <c r="E163">
        <v>510</v>
      </c>
      <c r="F163" s="51" t="s">
        <v>38</v>
      </c>
      <c r="G163">
        <v>6</v>
      </c>
      <c r="H163">
        <v>36</v>
      </c>
      <c r="I163" s="51" t="s">
        <v>20</v>
      </c>
      <c r="J163" t="s">
        <v>66</v>
      </c>
      <c r="K163" t="s">
        <v>70</v>
      </c>
      <c r="L163">
        <v>5</v>
      </c>
      <c r="M163" t="s">
        <v>72</v>
      </c>
    </row>
    <row r="164" spans="1:13" x14ac:dyDescent="0.3">
      <c r="A164">
        <v>2022</v>
      </c>
      <c r="B164" s="50">
        <v>44707</v>
      </c>
      <c r="C164">
        <v>5</v>
      </c>
      <c r="D164" s="51" t="s">
        <v>26</v>
      </c>
      <c r="E164">
        <v>532</v>
      </c>
      <c r="F164" s="51" t="s">
        <v>49</v>
      </c>
      <c r="G164">
        <v>2</v>
      </c>
      <c r="H164">
        <v>20</v>
      </c>
      <c r="I164" s="51" t="s">
        <v>20</v>
      </c>
      <c r="J164" t="s">
        <v>66</v>
      </c>
      <c r="K164" t="s">
        <v>70</v>
      </c>
      <c r="L164">
        <v>5</v>
      </c>
      <c r="M164" t="s">
        <v>72</v>
      </c>
    </row>
    <row r="165" spans="1:13" x14ac:dyDescent="0.3">
      <c r="A165">
        <v>2022</v>
      </c>
      <c r="B165" s="50">
        <v>44707</v>
      </c>
      <c r="C165">
        <v>5</v>
      </c>
      <c r="D165" s="51" t="s">
        <v>26</v>
      </c>
      <c r="E165">
        <v>544</v>
      </c>
      <c r="F165" s="51" t="s">
        <v>23</v>
      </c>
      <c r="G165">
        <v>4</v>
      </c>
      <c r="H165">
        <v>48</v>
      </c>
      <c r="I165" s="51" t="s">
        <v>20</v>
      </c>
      <c r="J165" t="s">
        <v>66</v>
      </c>
      <c r="K165" t="s">
        <v>70</v>
      </c>
      <c r="L165">
        <v>5</v>
      </c>
      <c r="M165" t="s">
        <v>72</v>
      </c>
    </row>
    <row r="166" spans="1:13" x14ac:dyDescent="0.3">
      <c r="A166">
        <v>2022</v>
      </c>
      <c r="B166" s="50">
        <v>44707</v>
      </c>
      <c r="C166">
        <v>5</v>
      </c>
      <c r="D166" s="51" t="s">
        <v>26</v>
      </c>
      <c r="E166">
        <v>536</v>
      </c>
      <c r="F166" s="51" t="s">
        <v>48</v>
      </c>
      <c r="G166">
        <v>5</v>
      </c>
      <c r="H166">
        <v>25</v>
      </c>
      <c r="I166" s="51" t="s">
        <v>20</v>
      </c>
      <c r="J166" t="s">
        <v>66</v>
      </c>
      <c r="K166" t="s">
        <v>70</v>
      </c>
      <c r="L166">
        <v>5</v>
      </c>
      <c r="M166" t="s">
        <v>72</v>
      </c>
    </row>
    <row r="167" spans="1:13" x14ac:dyDescent="0.3">
      <c r="A167">
        <v>2022</v>
      </c>
      <c r="B167" s="50">
        <v>44708</v>
      </c>
      <c r="C167">
        <v>5</v>
      </c>
      <c r="D167" s="51" t="s">
        <v>26</v>
      </c>
      <c r="E167">
        <v>514</v>
      </c>
      <c r="F167" s="51" t="s">
        <v>40</v>
      </c>
      <c r="G167">
        <v>9</v>
      </c>
      <c r="H167">
        <v>58.5</v>
      </c>
      <c r="I167" s="51" t="s">
        <v>20</v>
      </c>
      <c r="J167" t="s">
        <v>66</v>
      </c>
      <c r="K167" t="s">
        <v>70</v>
      </c>
      <c r="L167">
        <v>5</v>
      </c>
      <c r="M167" t="s">
        <v>72</v>
      </c>
    </row>
    <row r="168" spans="1:13" x14ac:dyDescent="0.3">
      <c r="A168">
        <v>2022</v>
      </c>
      <c r="B168" s="50">
        <v>44713</v>
      </c>
      <c r="C168">
        <v>6</v>
      </c>
      <c r="D168" s="51" t="s">
        <v>27</v>
      </c>
      <c r="E168">
        <v>532</v>
      </c>
      <c r="F168" s="51" t="s">
        <v>49</v>
      </c>
      <c r="G168">
        <v>2</v>
      </c>
      <c r="H168">
        <v>20</v>
      </c>
      <c r="I168" s="51" t="s">
        <v>20</v>
      </c>
      <c r="J168" t="s">
        <v>66</v>
      </c>
      <c r="K168" t="s">
        <v>70</v>
      </c>
      <c r="L168">
        <v>6</v>
      </c>
      <c r="M168" t="s">
        <v>73</v>
      </c>
    </row>
    <row r="169" spans="1:13" x14ac:dyDescent="0.3">
      <c r="A169">
        <v>2022</v>
      </c>
      <c r="B169" s="50">
        <v>44715</v>
      </c>
      <c r="C169">
        <v>6</v>
      </c>
      <c r="D169" s="51" t="s">
        <v>27</v>
      </c>
      <c r="E169">
        <v>536</v>
      </c>
      <c r="F169" s="51" t="s">
        <v>48</v>
      </c>
      <c r="G169">
        <v>5</v>
      </c>
      <c r="H169">
        <v>25</v>
      </c>
      <c r="I169" s="51" t="s">
        <v>20</v>
      </c>
      <c r="J169" t="s">
        <v>66</v>
      </c>
      <c r="K169" t="s">
        <v>70</v>
      </c>
      <c r="L169">
        <v>6</v>
      </c>
      <c r="M169" t="s">
        <v>73</v>
      </c>
    </row>
    <row r="170" spans="1:13" x14ac:dyDescent="0.3">
      <c r="A170">
        <v>2022</v>
      </c>
      <c r="B170" s="50">
        <v>44718</v>
      </c>
      <c r="C170">
        <v>6</v>
      </c>
      <c r="D170" s="51" t="s">
        <v>27</v>
      </c>
      <c r="E170">
        <v>514</v>
      </c>
      <c r="F170" s="51" t="s">
        <v>40</v>
      </c>
      <c r="G170">
        <v>8</v>
      </c>
      <c r="H170">
        <v>52</v>
      </c>
      <c r="I170" s="51" t="s">
        <v>20</v>
      </c>
      <c r="J170" t="s">
        <v>66</v>
      </c>
      <c r="K170" t="s">
        <v>70</v>
      </c>
      <c r="L170">
        <v>6</v>
      </c>
      <c r="M170" t="s">
        <v>73</v>
      </c>
    </row>
    <row r="171" spans="1:13" x14ac:dyDescent="0.3">
      <c r="A171">
        <v>2022</v>
      </c>
      <c r="B171" s="50">
        <v>44720</v>
      </c>
      <c r="C171">
        <v>6</v>
      </c>
      <c r="D171" s="51" t="s">
        <v>27</v>
      </c>
      <c r="E171">
        <v>548</v>
      </c>
      <c r="F171" s="51" t="s">
        <v>37</v>
      </c>
      <c r="G171">
        <v>10</v>
      </c>
      <c r="H171">
        <v>20</v>
      </c>
      <c r="I171" s="51" t="s">
        <v>20</v>
      </c>
      <c r="J171" t="s">
        <v>66</v>
      </c>
      <c r="K171" t="s">
        <v>70</v>
      </c>
      <c r="L171">
        <v>6</v>
      </c>
      <c r="M171" t="s">
        <v>73</v>
      </c>
    </row>
    <row r="172" spans="1:13" x14ac:dyDescent="0.3">
      <c r="A172">
        <v>2022</v>
      </c>
      <c r="B172" s="50">
        <v>44720</v>
      </c>
      <c r="C172">
        <v>6</v>
      </c>
      <c r="D172" s="51" t="s">
        <v>27</v>
      </c>
      <c r="E172">
        <v>540</v>
      </c>
      <c r="F172" s="51" t="s">
        <v>42</v>
      </c>
      <c r="G172">
        <v>5</v>
      </c>
      <c r="H172">
        <v>37.5</v>
      </c>
      <c r="I172" s="51" t="s">
        <v>20</v>
      </c>
      <c r="J172" t="s">
        <v>66</v>
      </c>
      <c r="K172" t="s">
        <v>70</v>
      </c>
      <c r="L172">
        <v>6</v>
      </c>
      <c r="M172" t="s">
        <v>73</v>
      </c>
    </row>
    <row r="173" spans="1:13" x14ac:dyDescent="0.3">
      <c r="A173">
        <v>2022</v>
      </c>
      <c r="B173" s="50">
        <v>44722</v>
      </c>
      <c r="C173">
        <v>6</v>
      </c>
      <c r="D173" s="51" t="s">
        <v>27</v>
      </c>
      <c r="E173">
        <v>560</v>
      </c>
      <c r="F173" s="51" t="s">
        <v>45</v>
      </c>
      <c r="G173">
        <v>5</v>
      </c>
      <c r="H173">
        <v>40</v>
      </c>
      <c r="I173" s="51" t="s">
        <v>20</v>
      </c>
      <c r="J173" t="s">
        <v>66</v>
      </c>
      <c r="K173" t="s">
        <v>70</v>
      </c>
      <c r="L173">
        <v>6</v>
      </c>
      <c r="M173" t="s">
        <v>73</v>
      </c>
    </row>
    <row r="174" spans="1:13" x14ac:dyDescent="0.3">
      <c r="A174">
        <v>2022</v>
      </c>
      <c r="B174" s="50">
        <v>44732</v>
      </c>
      <c r="C174">
        <v>6</v>
      </c>
      <c r="D174" s="51" t="s">
        <v>27</v>
      </c>
      <c r="E174">
        <v>516</v>
      </c>
      <c r="F174" s="51" t="s">
        <v>39</v>
      </c>
      <c r="G174">
        <v>7</v>
      </c>
      <c r="H174">
        <v>31.5</v>
      </c>
      <c r="I174" s="51" t="s">
        <v>20</v>
      </c>
      <c r="J174" t="s">
        <v>66</v>
      </c>
      <c r="K174" t="s">
        <v>70</v>
      </c>
      <c r="L174">
        <v>6</v>
      </c>
      <c r="M174" t="s">
        <v>73</v>
      </c>
    </row>
    <row r="175" spans="1:13" x14ac:dyDescent="0.3">
      <c r="A175">
        <v>2022</v>
      </c>
      <c r="B175" s="50">
        <v>44732</v>
      </c>
      <c r="C175">
        <v>6</v>
      </c>
      <c r="D175" s="51" t="s">
        <v>27</v>
      </c>
      <c r="E175">
        <v>530</v>
      </c>
      <c r="F175" s="51" t="s">
        <v>41</v>
      </c>
      <c r="G175">
        <v>5</v>
      </c>
      <c r="H175">
        <v>42.5</v>
      </c>
      <c r="I175" s="51" t="s">
        <v>20</v>
      </c>
      <c r="J175" t="s">
        <v>66</v>
      </c>
      <c r="K175" t="s">
        <v>70</v>
      </c>
      <c r="L175">
        <v>6</v>
      </c>
      <c r="M175" t="s">
        <v>73</v>
      </c>
    </row>
    <row r="176" spans="1:13" x14ac:dyDescent="0.3">
      <c r="A176">
        <v>2022</v>
      </c>
      <c r="B176" s="50">
        <v>44734</v>
      </c>
      <c r="C176">
        <v>6</v>
      </c>
      <c r="D176" s="51" t="s">
        <v>27</v>
      </c>
      <c r="E176">
        <v>518</v>
      </c>
      <c r="F176" s="51" t="s">
        <v>35</v>
      </c>
      <c r="G176">
        <v>4</v>
      </c>
      <c r="H176">
        <v>16</v>
      </c>
      <c r="I176" s="51" t="s">
        <v>20</v>
      </c>
      <c r="J176" t="s">
        <v>66</v>
      </c>
      <c r="K176" t="s">
        <v>70</v>
      </c>
      <c r="L176">
        <v>6</v>
      </c>
      <c r="M176" t="s">
        <v>73</v>
      </c>
    </row>
    <row r="177" spans="1:13" x14ac:dyDescent="0.3">
      <c r="A177">
        <v>2022</v>
      </c>
      <c r="B177" s="50">
        <v>44734</v>
      </c>
      <c r="C177">
        <v>6</v>
      </c>
      <c r="D177" s="51" t="s">
        <v>27</v>
      </c>
      <c r="E177">
        <v>524</v>
      </c>
      <c r="F177" s="51" t="s">
        <v>43</v>
      </c>
      <c r="G177">
        <v>3</v>
      </c>
      <c r="H177">
        <v>6</v>
      </c>
      <c r="I177" s="51" t="s">
        <v>20</v>
      </c>
      <c r="J177" t="s">
        <v>66</v>
      </c>
      <c r="K177" t="s">
        <v>70</v>
      </c>
      <c r="L177">
        <v>6</v>
      </c>
      <c r="M177" t="s">
        <v>73</v>
      </c>
    </row>
    <row r="178" spans="1:13" x14ac:dyDescent="0.3">
      <c r="A178">
        <v>2022</v>
      </c>
      <c r="B178" s="50">
        <v>44736</v>
      </c>
      <c r="C178">
        <v>6</v>
      </c>
      <c r="D178" s="51" t="s">
        <v>27</v>
      </c>
      <c r="E178">
        <v>580</v>
      </c>
      <c r="F178" s="51" t="s">
        <v>25</v>
      </c>
      <c r="G178">
        <v>6</v>
      </c>
      <c r="H178">
        <v>48</v>
      </c>
      <c r="I178" s="51" t="s">
        <v>20</v>
      </c>
      <c r="J178" t="s">
        <v>66</v>
      </c>
      <c r="K178" t="s">
        <v>70</v>
      </c>
      <c r="L178">
        <v>6</v>
      </c>
      <c r="M178" t="s">
        <v>73</v>
      </c>
    </row>
    <row r="179" spans="1:13" x14ac:dyDescent="0.3">
      <c r="A179">
        <v>2022</v>
      </c>
      <c r="B179" s="50">
        <v>44739</v>
      </c>
      <c r="C179">
        <v>6</v>
      </c>
      <c r="D179" s="51" t="s">
        <v>27</v>
      </c>
      <c r="E179">
        <v>510</v>
      </c>
      <c r="F179" s="51" t="s">
        <v>38</v>
      </c>
      <c r="G179">
        <v>6</v>
      </c>
      <c r="H179">
        <v>36</v>
      </c>
      <c r="I179" s="51" t="s">
        <v>20</v>
      </c>
      <c r="J179" t="s">
        <v>66</v>
      </c>
      <c r="K179" t="s">
        <v>70</v>
      </c>
      <c r="L179">
        <v>6</v>
      </c>
      <c r="M179" t="s">
        <v>73</v>
      </c>
    </row>
    <row r="180" spans="1:13" x14ac:dyDescent="0.3">
      <c r="A180">
        <v>2022</v>
      </c>
      <c r="B180" s="50">
        <v>44741</v>
      </c>
      <c r="C180">
        <v>6</v>
      </c>
      <c r="D180" s="51" t="s">
        <v>27</v>
      </c>
      <c r="E180">
        <v>562</v>
      </c>
      <c r="F180" s="51" t="s">
        <v>44</v>
      </c>
      <c r="G180">
        <v>5</v>
      </c>
      <c r="H180">
        <v>25</v>
      </c>
      <c r="I180" s="51" t="s">
        <v>20</v>
      </c>
      <c r="J180" t="s">
        <v>66</v>
      </c>
      <c r="K180" t="s">
        <v>70</v>
      </c>
      <c r="L180">
        <v>6</v>
      </c>
      <c r="M180" t="s">
        <v>73</v>
      </c>
    </row>
    <row r="181" spans="1:13" x14ac:dyDescent="0.3">
      <c r="A181">
        <v>2022</v>
      </c>
      <c r="B181" s="50">
        <v>44741</v>
      </c>
      <c r="C181">
        <v>6</v>
      </c>
      <c r="D181" s="51" t="s">
        <v>27</v>
      </c>
      <c r="E181">
        <v>510</v>
      </c>
      <c r="F181" s="51" t="s">
        <v>38</v>
      </c>
      <c r="G181">
        <v>6</v>
      </c>
      <c r="H181">
        <v>36</v>
      </c>
      <c r="I181" s="51" t="s">
        <v>20</v>
      </c>
      <c r="J181" t="s">
        <v>66</v>
      </c>
      <c r="K181" t="s">
        <v>70</v>
      </c>
      <c r="L181">
        <v>6</v>
      </c>
      <c r="M181" t="s">
        <v>73</v>
      </c>
    </row>
    <row r="182" spans="1:13" x14ac:dyDescent="0.3">
      <c r="A182">
        <v>2022</v>
      </c>
      <c r="B182" s="50">
        <v>44742</v>
      </c>
      <c r="C182">
        <v>6</v>
      </c>
      <c r="D182" s="51" t="s">
        <v>27</v>
      </c>
      <c r="E182">
        <v>576</v>
      </c>
      <c r="F182" s="51" t="s">
        <v>50</v>
      </c>
      <c r="G182">
        <v>10</v>
      </c>
      <c r="H182">
        <v>125</v>
      </c>
      <c r="I182" s="51" t="s">
        <v>20</v>
      </c>
      <c r="J182" t="s">
        <v>66</v>
      </c>
      <c r="K182" t="s">
        <v>70</v>
      </c>
      <c r="L182">
        <v>6</v>
      </c>
      <c r="M182" t="s">
        <v>73</v>
      </c>
    </row>
    <row r="183" spans="1:13" x14ac:dyDescent="0.3">
      <c r="A183">
        <v>2022</v>
      </c>
      <c r="B183" s="50">
        <v>44742</v>
      </c>
      <c r="C183">
        <v>6</v>
      </c>
      <c r="D183" s="51" t="s">
        <v>27</v>
      </c>
      <c r="E183">
        <v>578</v>
      </c>
      <c r="F183" s="51" t="s">
        <v>47</v>
      </c>
      <c r="G183">
        <v>4</v>
      </c>
      <c r="H183">
        <v>62</v>
      </c>
      <c r="I183" s="51" t="s">
        <v>20</v>
      </c>
      <c r="J183" t="s">
        <v>66</v>
      </c>
      <c r="K183" t="s">
        <v>70</v>
      </c>
      <c r="L183">
        <v>6</v>
      </c>
      <c r="M183" t="s">
        <v>73</v>
      </c>
    </row>
    <row r="184" spans="1:13" x14ac:dyDescent="0.3">
      <c r="A184">
        <v>2022</v>
      </c>
      <c r="B184" s="50">
        <v>44742</v>
      </c>
      <c r="C184">
        <v>6</v>
      </c>
      <c r="D184" s="51" t="s">
        <v>27</v>
      </c>
      <c r="E184">
        <v>532</v>
      </c>
      <c r="F184" s="51" t="s">
        <v>49</v>
      </c>
      <c r="G184">
        <v>2</v>
      </c>
      <c r="H184">
        <v>20</v>
      </c>
      <c r="I184" s="51" t="s">
        <v>20</v>
      </c>
      <c r="J184" t="s">
        <v>66</v>
      </c>
      <c r="K184" t="s">
        <v>70</v>
      </c>
      <c r="L184">
        <v>6</v>
      </c>
      <c r="M184" t="s">
        <v>73</v>
      </c>
    </row>
    <row r="185" spans="1:13" x14ac:dyDescent="0.3">
      <c r="A185">
        <v>2022</v>
      </c>
      <c r="B185" s="50">
        <v>44745</v>
      </c>
      <c r="C185">
        <v>7</v>
      </c>
      <c r="D185" s="51" t="s">
        <v>28</v>
      </c>
      <c r="E185">
        <v>532</v>
      </c>
      <c r="F185" s="51" t="s">
        <v>49</v>
      </c>
      <c r="G185">
        <v>2</v>
      </c>
      <c r="H185">
        <v>20</v>
      </c>
      <c r="I185" s="51" t="s">
        <v>20</v>
      </c>
      <c r="J185" t="s">
        <v>66</v>
      </c>
      <c r="K185" t="s">
        <v>74</v>
      </c>
      <c r="L185">
        <v>7</v>
      </c>
      <c r="M185" t="s">
        <v>75</v>
      </c>
    </row>
    <row r="186" spans="1:13" x14ac:dyDescent="0.3">
      <c r="A186">
        <v>2022</v>
      </c>
      <c r="B186" s="50">
        <v>44747</v>
      </c>
      <c r="C186">
        <v>7</v>
      </c>
      <c r="D186" s="51" t="s">
        <v>28</v>
      </c>
      <c r="E186">
        <v>536</v>
      </c>
      <c r="F186" s="51" t="s">
        <v>48</v>
      </c>
      <c r="G186">
        <v>5</v>
      </c>
      <c r="H186">
        <v>25</v>
      </c>
      <c r="I186" s="51" t="s">
        <v>20</v>
      </c>
      <c r="J186" t="s">
        <v>66</v>
      </c>
      <c r="K186" t="s">
        <v>74</v>
      </c>
      <c r="L186">
        <v>7</v>
      </c>
      <c r="M186" t="s">
        <v>75</v>
      </c>
    </row>
    <row r="187" spans="1:13" x14ac:dyDescent="0.3">
      <c r="A187">
        <v>2022</v>
      </c>
      <c r="B187" s="50">
        <v>44749</v>
      </c>
      <c r="C187">
        <v>7</v>
      </c>
      <c r="D187" s="51" t="s">
        <v>28</v>
      </c>
      <c r="E187">
        <v>514</v>
      </c>
      <c r="F187" s="51" t="s">
        <v>40</v>
      </c>
      <c r="G187">
        <v>8</v>
      </c>
      <c r="H187">
        <v>52</v>
      </c>
      <c r="I187" s="51" t="s">
        <v>20</v>
      </c>
      <c r="J187" t="s">
        <v>66</v>
      </c>
      <c r="K187" t="s">
        <v>74</v>
      </c>
      <c r="L187">
        <v>7</v>
      </c>
      <c r="M187" t="s">
        <v>75</v>
      </c>
    </row>
    <row r="188" spans="1:13" x14ac:dyDescent="0.3">
      <c r="A188">
        <v>2022</v>
      </c>
      <c r="B188" s="50">
        <v>44749</v>
      </c>
      <c r="C188">
        <v>7</v>
      </c>
      <c r="D188" s="51" t="s">
        <v>28</v>
      </c>
      <c r="E188">
        <v>548</v>
      </c>
      <c r="F188" s="51" t="s">
        <v>37</v>
      </c>
      <c r="G188">
        <v>10</v>
      </c>
      <c r="H188">
        <v>20</v>
      </c>
      <c r="I188" s="51" t="s">
        <v>20</v>
      </c>
      <c r="J188" t="s">
        <v>66</v>
      </c>
      <c r="K188" t="s">
        <v>74</v>
      </c>
      <c r="L188">
        <v>7</v>
      </c>
      <c r="M188" t="s">
        <v>75</v>
      </c>
    </row>
    <row r="189" spans="1:13" x14ac:dyDescent="0.3">
      <c r="A189">
        <v>2022</v>
      </c>
      <c r="B189" s="50">
        <v>44752</v>
      </c>
      <c r="C189">
        <v>7</v>
      </c>
      <c r="D189" s="51" t="s">
        <v>28</v>
      </c>
      <c r="E189">
        <v>540</v>
      </c>
      <c r="F189" s="51" t="s">
        <v>42</v>
      </c>
      <c r="G189">
        <v>5</v>
      </c>
      <c r="H189">
        <v>37.5</v>
      </c>
      <c r="I189" s="51" t="s">
        <v>20</v>
      </c>
      <c r="J189" t="s">
        <v>66</v>
      </c>
      <c r="K189" t="s">
        <v>74</v>
      </c>
      <c r="L189">
        <v>7</v>
      </c>
      <c r="M189" t="s">
        <v>75</v>
      </c>
    </row>
    <row r="190" spans="1:13" x14ac:dyDescent="0.3">
      <c r="A190">
        <v>2022</v>
      </c>
      <c r="B190" s="50">
        <v>44752</v>
      </c>
      <c r="C190">
        <v>7</v>
      </c>
      <c r="D190" s="51" t="s">
        <v>28</v>
      </c>
      <c r="E190">
        <v>560</v>
      </c>
      <c r="F190" s="51" t="s">
        <v>45</v>
      </c>
      <c r="G190">
        <v>5</v>
      </c>
      <c r="H190">
        <v>40</v>
      </c>
      <c r="I190" s="51" t="s">
        <v>20</v>
      </c>
      <c r="J190" t="s">
        <v>66</v>
      </c>
      <c r="K190" t="s">
        <v>74</v>
      </c>
      <c r="L190">
        <v>7</v>
      </c>
      <c r="M190" t="s">
        <v>75</v>
      </c>
    </row>
    <row r="191" spans="1:13" x14ac:dyDescent="0.3">
      <c r="A191">
        <v>2022</v>
      </c>
      <c r="B191" s="50">
        <v>44754</v>
      </c>
      <c r="C191">
        <v>7</v>
      </c>
      <c r="D191" s="51" t="s">
        <v>28</v>
      </c>
      <c r="E191">
        <v>516</v>
      </c>
      <c r="F191" s="51" t="s">
        <v>39</v>
      </c>
      <c r="G191">
        <v>7</v>
      </c>
      <c r="H191">
        <v>31.5</v>
      </c>
      <c r="I191" s="51" t="s">
        <v>20</v>
      </c>
      <c r="J191" t="s">
        <v>66</v>
      </c>
      <c r="K191" t="s">
        <v>74</v>
      </c>
      <c r="L191">
        <v>7</v>
      </c>
      <c r="M191" t="s">
        <v>75</v>
      </c>
    </row>
    <row r="192" spans="1:13" x14ac:dyDescent="0.3">
      <c r="A192">
        <v>2022</v>
      </c>
      <c r="B192" s="50">
        <v>44754</v>
      </c>
      <c r="C192">
        <v>7</v>
      </c>
      <c r="D192" s="51" t="s">
        <v>28</v>
      </c>
      <c r="E192">
        <v>530</v>
      </c>
      <c r="F192" s="51" t="s">
        <v>41</v>
      </c>
      <c r="G192">
        <v>5</v>
      </c>
      <c r="H192">
        <v>42.5</v>
      </c>
      <c r="I192" s="51" t="s">
        <v>20</v>
      </c>
      <c r="J192" t="s">
        <v>66</v>
      </c>
      <c r="K192" t="s">
        <v>74</v>
      </c>
      <c r="L192">
        <v>7</v>
      </c>
      <c r="M192" t="s">
        <v>75</v>
      </c>
    </row>
    <row r="193" spans="1:13" x14ac:dyDescent="0.3">
      <c r="A193">
        <v>2022</v>
      </c>
      <c r="B193" s="50">
        <v>44756</v>
      </c>
      <c r="C193">
        <v>7</v>
      </c>
      <c r="D193" s="51" t="s">
        <v>28</v>
      </c>
      <c r="E193">
        <v>518</v>
      </c>
      <c r="F193" s="51" t="s">
        <v>35</v>
      </c>
      <c r="G193">
        <v>4</v>
      </c>
      <c r="H193">
        <v>16</v>
      </c>
      <c r="I193" s="51" t="s">
        <v>20</v>
      </c>
      <c r="J193" t="s">
        <v>66</v>
      </c>
      <c r="K193" t="s">
        <v>74</v>
      </c>
      <c r="L193">
        <v>7</v>
      </c>
      <c r="M193" t="s">
        <v>75</v>
      </c>
    </row>
    <row r="194" spans="1:13" x14ac:dyDescent="0.3">
      <c r="A194">
        <v>2022</v>
      </c>
      <c r="B194" s="50">
        <v>44756</v>
      </c>
      <c r="C194">
        <v>7</v>
      </c>
      <c r="D194" s="51" t="s">
        <v>28</v>
      </c>
      <c r="E194">
        <v>524</v>
      </c>
      <c r="F194" s="51" t="s">
        <v>43</v>
      </c>
      <c r="G194">
        <v>3</v>
      </c>
      <c r="H194">
        <v>6</v>
      </c>
      <c r="I194" s="51" t="s">
        <v>20</v>
      </c>
      <c r="J194" t="s">
        <v>66</v>
      </c>
      <c r="K194" t="s">
        <v>74</v>
      </c>
      <c r="L194">
        <v>7</v>
      </c>
      <c r="M194" t="s">
        <v>75</v>
      </c>
    </row>
    <row r="195" spans="1:13" x14ac:dyDescent="0.3">
      <c r="A195">
        <v>2022</v>
      </c>
      <c r="B195" s="50">
        <v>44766</v>
      </c>
      <c r="C195">
        <v>7</v>
      </c>
      <c r="D195" s="51" t="s">
        <v>28</v>
      </c>
      <c r="E195">
        <v>580</v>
      </c>
      <c r="F195" s="51" t="s">
        <v>25</v>
      </c>
      <c r="G195">
        <v>6</v>
      </c>
      <c r="H195">
        <v>48</v>
      </c>
      <c r="I195" s="51" t="s">
        <v>20</v>
      </c>
      <c r="J195" t="s">
        <v>66</v>
      </c>
      <c r="K195" t="s">
        <v>74</v>
      </c>
      <c r="L195">
        <v>7</v>
      </c>
      <c r="M195" t="s">
        <v>75</v>
      </c>
    </row>
    <row r="196" spans="1:13" x14ac:dyDescent="0.3">
      <c r="A196">
        <v>2022</v>
      </c>
      <c r="B196" s="50">
        <v>44768</v>
      </c>
      <c r="C196">
        <v>7</v>
      </c>
      <c r="D196" s="51" t="s">
        <v>28</v>
      </c>
      <c r="E196">
        <v>510</v>
      </c>
      <c r="F196" s="51" t="s">
        <v>38</v>
      </c>
      <c r="G196">
        <v>6</v>
      </c>
      <c r="H196">
        <v>36</v>
      </c>
      <c r="I196" s="51" t="s">
        <v>20</v>
      </c>
      <c r="J196" t="s">
        <v>66</v>
      </c>
      <c r="K196" t="s">
        <v>74</v>
      </c>
      <c r="L196">
        <v>7</v>
      </c>
      <c r="M196" t="s">
        <v>75</v>
      </c>
    </row>
    <row r="197" spans="1:13" x14ac:dyDescent="0.3">
      <c r="A197">
        <v>2022</v>
      </c>
      <c r="B197" s="50">
        <v>44770</v>
      </c>
      <c r="C197">
        <v>7</v>
      </c>
      <c r="D197" s="51" t="s">
        <v>28</v>
      </c>
      <c r="E197">
        <v>562</v>
      </c>
      <c r="F197" s="51" t="s">
        <v>44</v>
      </c>
      <c r="G197">
        <v>5</v>
      </c>
      <c r="H197">
        <v>25</v>
      </c>
      <c r="I197" s="51" t="s">
        <v>20</v>
      </c>
      <c r="J197" t="s">
        <v>66</v>
      </c>
      <c r="K197" t="s">
        <v>74</v>
      </c>
      <c r="L197">
        <v>7</v>
      </c>
      <c r="M197" t="s">
        <v>75</v>
      </c>
    </row>
    <row r="198" spans="1:13" x14ac:dyDescent="0.3">
      <c r="A198">
        <v>2022</v>
      </c>
      <c r="B198" s="50">
        <v>44770</v>
      </c>
      <c r="C198">
        <v>7</v>
      </c>
      <c r="D198" s="51" t="s">
        <v>28</v>
      </c>
      <c r="E198">
        <v>510</v>
      </c>
      <c r="F198" s="51" t="s">
        <v>38</v>
      </c>
      <c r="G198">
        <v>6</v>
      </c>
      <c r="H198">
        <v>36</v>
      </c>
      <c r="I198" s="51" t="s">
        <v>20</v>
      </c>
      <c r="J198" t="s">
        <v>66</v>
      </c>
      <c r="K198" t="s">
        <v>74</v>
      </c>
      <c r="L198">
        <v>7</v>
      </c>
      <c r="M198" t="s">
        <v>75</v>
      </c>
    </row>
    <row r="199" spans="1:13" x14ac:dyDescent="0.3">
      <c r="A199">
        <v>2022</v>
      </c>
      <c r="B199" s="50">
        <v>44771</v>
      </c>
      <c r="C199">
        <v>7</v>
      </c>
      <c r="D199" s="51" t="s">
        <v>28</v>
      </c>
      <c r="E199">
        <v>532</v>
      </c>
      <c r="F199" s="51" t="s">
        <v>49</v>
      </c>
      <c r="G199">
        <v>2</v>
      </c>
      <c r="H199">
        <v>20</v>
      </c>
      <c r="I199" s="51" t="s">
        <v>20</v>
      </c>
      <c r="J199" t="s">
        <v>66</v>
      </c>
      <c r="K199" t="s">
        <v>74</v>
      </c>
      <c r="L199">
        <v>7</v>
      </c>
      <c r="M199" t="s">
        <v>75</v>
      </c>
    </row>
    <row r="200" spans="1:13" x14ac:dyDescent="0.3">
      <c r="A200">
        <v>2022</v>
      </c>
      <c r="B200" s="50">
        <v>44771</v>
      </c>
      <c r="C200">
        <v>7</v>
      </c>
      <c r="D200" s="51" t="s">
        <v>28</v>
      </c>
      <c r="E200">
        <v>536</v>
      </c>
      <c r="F200" s="51" t="s">
        <v>48</v>
      </c>
      <c r="G200">
        <v>5</v>
      </c>
      <c r="H200">
        <v>25</v>
      </c>
      <c r="I200" s="51" t="s">
        <v>20</v>
      </c>
      <c r="J200" t="s">
        <v>66</v>
      </c>
      <c r="K200" t="s">
        <v>74</v>
      </c>
      <c r="L200">
        <v>7</v>
      </c>
      <c r="M200" t="s">
        <v>75</v>
      </c>
    </row>
    <row r="201" spans="1:13" x14ac:dyDescent="0.3">
      <c r="A201">
        <v>2022</v>
      </c>
      <c r="B201" s="50">
        <v>44774</v>
      </c>
      <c r="C201">
        <v>8</v>
      </c>
      <c r="D201" s="51" t="s">
        <v>29</v>
      </c>
      <c r="E201">
        <v>532</v>
      </c>
      <c r="F201" s="51" t="s">
        <v>49</v>
      </c>
      <c r="G201">
        <v>2</v>
      </c>
      <c r="H201">
        <v>20</v>
      </c>
      <c r="I201" s="51" t="s">
        <v>20</v>
      </c>
      <c r="J201" t="s">
        <v>66</v>
      </c>
      <c r="K201" t="s">
        <v>74</v>
      </c>
      <c r="L201">
        <v>8</v>
      </c>
      <c r="M201" t="s">
        <v>76</v>
      </c>
    </row>
    <row r="202" spans="1:13" x14ac:dyDescent="0.3">
      <c r="A202">
        <v>2022</v>
      </c>
      <c r="B202" s="50">
        <v>44776</v>
      </c>
      <c r="C202">
        <v>8</v>
      </c>
      <c r="D202" s="51" t="s">
        <v>29</v>
      </c>
      <c r="E202">
        <v>536</v>
      </c>
      <c r="F202" s="51" t="s">
        <v>48</v>
      </c>
      <c r="G202">
        <v>5</v>
      </c>
      <c r="H202">
        <v>25</v>
      </c>
      <c r="I202" s="51" t="s">
        <v>20</v>
      </c>
      <c r="J202" t="s">
        <v>66</v>
      </c>
      <c r="K202" t="s">
        <v>74</v>
      </c>
      <c r="L202">
        <v>8</v>
      </c>
      <c r="M202" t="s">
        <v>76</v>
      </c>
    </row>
    <row r="203" spans="1:13" x14ac:dyDescent="0.3">
      <c r="A203">
        <v>2022</v>
      </c>
      <c r="B203" s="50">
        <v>44778</v>
      </c>
      <c r="C203">
        <v>8</v>
      </c>
      <c r="D203" s="51" t="s">
        <v>29</v>
      </c>
      <c r="E203">
        <v>514</v>
      </c>
      <c r="F203" s="51" t="s">
        <v>40</v>
      </c>
      <c r="G203">
        <v>9</v>
      </c>
      <c r="H203">
        <v>58.5</v>
      </c>
      <c r="I203" s="51" t="s">
        <v>20</v>
      </c>
      <c r="J203" t="s">
        <v>66</v>
      </c>
      <c r="K203" t="s">
        <v>74</v>
      </c>
      <c r="L203">
        <v>8</v>
      </c>
      <c r="M203" t="s">
        <v>76</v>
      </c>
    </row>
    <row r="204" spans="1:13" x14ac:dyDescent="0.3">
      <c r="A204">
        <v>2022</v>
      </c>
      <c r="B204" s="50">
        <v>44778</v>
      </c>
      <c r="C204">
        <v>8</v>
      </c>
      <c r="D204" s="51" t="s">
        <v>29</v>
      </c>
      <c r="E204">
        <v>548</v>
      </c>
      <c r="F204" s="51" t="s">
        <v>37</v>
      </c>
      <c r="G204">
        <v>10</v>
      </c>
      <c r="H204">
        <v>20</v>
      </c>
      <c r="I204" s="51" t="s">
        <v>20</v>
      </c>
      <c r="J204" t="s">
        <v>66</v>
      </c>
      <c r="K204" t="s">
        <v>74</v>
      </c>
      <c r="L204">
        <v>8</v>
      </c>
      <c r="M204" t="s">
        <v>76</v>
      </c>
    </row>
    <row r="205" spans="1:13" x14ac:dyDescent="0.3">
      <c r="A205">
        <v>2022</v>
      </c>
      <c r="B205" s="50">
        <v>44781</v>
      </c>
      <c r="C205">
        <v>8</v>
      </c>
      <c r="D205" s="51" t="s">
        <v>29</v>
      </c>
      <c r="E205">
        <v>540</v>
      </c>
      <c r="F205" s="51" t="s">
        <v>42</v>
      </c>
      <c r="G205">
        <v>5</v>
      </c>
      <c r="H205">
        <v>37.5</v>
      </c>
      <c r="I205" s="51" t="s">
        <v>20</v>
      </c>
      <c r="J205" t="s">
        <v>66</v>
      </c>
      <c r="K205" t="s">
        <v>74</v>
      </c>
      <c r="L205">
        <v>8</v>
      </c>
      <c r="M205" t="s">
        <v>76</v>
      </c>
    </row>
    <row r="206" spans="1:13" x14ac:dyDescent="0.3">
      <c r="A206">
        <v>2022</v>
      </c>
      <c r="B206" s="50">
        <v>44781</v>
      </c>
      <c r="C206">
        <v>8</v>
      </c>
      <c r="D206" s="51" t="s">
        <v>29</v>
      </c>
      <c r="E206">
        <v>560</v>
      </c>
      <c r="F206" s="51" t="s">
        <v>45</v>
      </c>
      <c r="G206">
        <v>5</v>
      </c>
      <c r="H206">
        <v>40</v>
      </c>
      <c r="I206" s="51" t="s">
        <v>20</v>
      </c>
      <c r="J206" t="s">
        <v>66</v>
      </c>
      <c r="K206" t="s">
        <v>74</v>
      </c>
      <c r="L206">
        <v>8</v>
      </c>
      <c r="M206" t="s">
        <v>76</v>
      </c>
    </row>
    <row r="207" spans="1:13" x14ac:dyDescent="0.3">
      <c r="A207">
        <v>2022</v>
      </c>
      <c r="B207" s="50">
        <v>44783</v>
      </c>
      <c r="C207">
        <v>8</v>
      </c>
      <c r="D207" s="51" t="s">
        <v>29</v>
      </c>
      <c r="E207">
        <v>516</v>
      </c>
      <c r="F207" s="51" t="s">
        <v>39</v>
      </c>
      <c r="G207">
        <v>7</v>
      </c>
      <c r="H207">
        <v>31.5</v>
      </c>
      <c r="I207" s="51" t="s">
        <v>20</v>
      </c>
      <c r="J207" t="s">
        <v>66</v>
      </c>
      <c r="K207" t="s">
        <v>74</v>
      </c>
      <c r="L207">
        <v>8</v>
      </c>
      <c r="M207" t="s">
        <v>76</v>
      </c>
    </row>
    <row r="208" spans="1:13" x14ac:dyDescent="0.3">
      <c r="A208">
        <v>2022</v>
      </c>
      <c r="B208" s="50">
        <v>44783</v>
      </c>
      <c r="C208">
        <v>8</v>
      </c>
      <c r="D208" s="51" t="s">
        <v>29</v>
      </c>
      <c r="E208">
        <v>530</v>
      </c>
      <c r="F208" s="51" t="s">
        <v>41</v>
      </c>
      <c r="G208">
        <v>5</v>
      </c>
      <c r="H208">
        <v>42.5</v>
      </c>
      <c r="I208" s="51" t="s">
        <v>20</v>
      </c>
      <c r="J208" t="s">
        <v>66</v>
      </c>
      <c r="K208" t="s">
        <v>74</v>
      </c>
      <c r="L208">
        <v>8</v>
      </c>
      <c r="M208" t="s">
        <v>76</v>
      </c>
    </row>
    <row r="209" spans="1:13" x14ac:dyDescent="0.3">
      <c r="A209">
        <v>2022</v>
      </c>
      <c r="B209" s="50">
        <v>44785</v>
      </c>
      <c r="C209">
        <v>8</v>
      </c>
      <c r="D209" s="51" t="s">
        <v>29</v>
      </c>
      <c r="E209">
        <v>518</v>
      </c>
      <c r="F209" s="51" t="s">
        <v>35</v>
      </c>
      <c r="G209">
        <v>4</v>
      </c>
      <c r="H209">
        <v>16</v>
      </c>
      <c r="I209" s="51" t="s">
        <v>20</v>
      </c>
      <c r="J209" t="s">
        <v>66</v>
      </c>
      <c r="K209" t="s">
        <v>74</v>
      </c>
      <c r="L209">
        <v>8</v>
      </c>
      <c r="M209" t="s">
        <v>76</v>
      </c>
    </row>
    <row r="210" spans="1:13" x14ac:dyDescent="0.3">
      <c r="A210">
        <v>2022</v>
      </c>
      <c r="B210" s="50">
        <v>44785</v>
      </c>
      <c r="C210">
        <v>8</v>
      </c>
      <c r="D210" s="51" t="s">
        <v>29</v>
      </c>
      <c r="E210">
        <v>524</v>
      </c>
      <c r="F210" s="51" t="s">
        <v>43</v>
      </c>
      <c r="G210">
        <v>3</v>
      </c>
      <c r="H210">
        <v>6</v>
      </c>
      <c r="I210" s="51" t="s">
        <v>20</v>
      </c>
      <c r="J210" t="s">
        <v>66</v>
      </c>
      <c r="K210" t="s">
        <v>74</v>
      </c>
      <c r="L210">
        <v>8</v>
      </c>
      <c r="M210" t="s">
        <v>76</v>
      </c>
    </row>
    <row r="211" spans="1:13" x14ac:dyDescent="0.3">
      <c r="A211">
        <v>2022</v>
      </c>
      <c r="B211" s="50">
        <v>44795</v>
      </c>
      <c r="C211">
        <v>8</v>
      </c>
      <c r="D211" s="51" t="s">
        <v>29</v>
      </c>
      <c r="E211">
        <v>580</v>
      </c>
      <c r="F211" s="51" t="s">
        <v>25</v>
      </c>
      <c r="G211">
        <v>4</v>
      </c>
      <c r="H211">
        <v>32</v>
      </c>
      <c r="I211" s="51" t="s">
        <v>20</v>
      </c>
      <c r="J211" t="s">
        <v>66</v>
      </c>
      <c r="K211" t="s">
        <v>74</v>
      </c>
      <c r="L211">
        <v>8</v>
      </c>
      <c r="M211" t="s">
        <v>76</v>
      </c>
    </row>
    <row r="212" spans="1:13" x14ac:dyDescent="0.3">
      <c r="A212">
        <v>2022</v>
      </c>
      <c r="B212" s="50">
        <v>44796</v>
      </c>
      <c r="C212">
        <v>8</v>
      </c>
      <c r="D212" s="51" t="s">
        <v>29</v>
      </c>
      <c r="E212">
        <v>510</v>
      </c>
      <c r="F212" s="51" t="s">
        <v>38</v>
      </c>
      <c r="G212">
        <v>6</v>
      </c>
      <c r="H212">
        <v>36</v>
      </c>
      <c r="I212" s="51" t="s">
        <v>20</v>
      </c>
      <c r="J212" t="s">
        <v>66</v>
      </c>
      <c r="K212" t="s">
        <v>74</v>
      </c>
      <c r="L212">
        <v>8</v>
      </c>
      <c r="M212" t="s">
        <v>76</v>
      </c>
    </row>
    <row r="213" spans="1:13" x14ac:dyDescent="0.3">
      <c r="A213">
        <v>2022</v>
      </c>
      <c r="B213" s="50">
        <v>44796</v>
      </c>
      <c r="C213">
        <v>8</v>
      </c>
      <c r="D213" s="51" t="s">
        <v>29</v>
      </c>
      <c r="E213">
        <v>532</v>
      </c>
      <c r="F213" s="51" t="s">
        <v>49</v>
      </c>
      <c r="G213">
        <v>2</v>
      </c>
      <c r="H213">
        <v>20</v>
      </c>
      <c r="I213" s="51" t="s">
        <v>20</v>
      </c>
      <c r="J213" t="s">
        <v>66</v>
      </c>
      <c r="K213" t="s">
        <v>74</v>
      </c>
      <c r="L213">
        <v>8</v>
      </c>
      <c r="M213" t="s">
        <v>76</v>
      </c>
    </row>
    <row r="214" spans="1:13" x14ac:dyDescent="0.3">
      <c r="A214">
        <v>2022</v>
      </c>
      <c r="B214" s="50">
        <v>44796</v>
      </c>
      <c r="C214">
        <v>8</v>
      </c>
      <c r="D214" s="51" t="s">
        <v>29</v>
      </c>
      <c r="E214">
        <v>536</v>
      </c>
      <c r="F214" s="51" t="s">
        <v>48</v>
      </c>
      <c r="G214">
        <v>5</v>
      </c>
      <c r="H214">
        <v>25</v>
      </c>
      <c r="I214" s="51" t="s">
        <v>20</v>
      </c>
      <c r="J214" t="s">
        <v>66</v>
      </c>
      <c r="K214" t="s">
        <v>74</v>
      </c>
      <c r="L214">
        <v>8</v>
      </c>
      <c r="M214" t="s">
        <v>76</v>
      </c>
    </row>
    <row r="215" spans="1:13" x14ac:dyDescent="0.3">
      <c r="A215">
        <v>2022</v>
      </c>
      <c r="B215" s="50">
        <v>44797</v>
      </c>
      <c r="C215">
        <v>8</v>
      </c>
      <c r="D215" s="51" t="s">
        <v>29</v>
      </c>
      <c r="E215">
        <v>510</v>
      </c>
      <c r="F215" s="51" t="s">
        <v>38</v>
      </c>
      <c r="G215">
        <v>6</v>
      </c>
      <c r="H215">
        <v>36</v>
      </c>
      <c r="I215" s="51" t="s">
        <v>20</v>
      </c>
      <c r="J215" t="s">
        <v>66</v>
      </c>
      <c r="K215" t="s">
        <v>74</v>
      </c>
      <c r="L215">
        <v>8</v>
      </c>
      <c r="M215" t="s">
        <v>76</v>
      </c>
    </row>
    <row r="216" spans="1:13" x14ac:dyDescent="0.3">
      <c r="A216">
        <v>2022</v>
      </c>
      <c r="B216" s="50">
        <v>44799</v>
      </c>
      <c r="C216">
        <v>8</v>
      </c>
      <c r="D216" s="51" t="s">
        <v>29</v>
      </c>
      <c r="E216">
        <v>562</v>
      </c>
      <c r="F216" s="51" t="s">
        <v>44</v>
      </c>
      <c r="G216">
        <v>5</v>
      </c>
      <c r="H216">
        <v>25</v>
      </c>
      <c r="I216" s="51" t="s">
        <v>20</v>
      </c>
      <c r="J216" t="s">
        <v>66</v>
      </c>
      <c r="K216" t="s">
        <v>74</v>
      </c>
      <c r="L216">
        <v>8</v>
      </c>
      <c r="M216" t="s">
        <v>76</v>
      </c>
    </row>
    <row r="217" spans="1:13" x14ac:dyDescent="0.3">
      <c r="A217">
        <v>2022</v>
      </c>
      <c r="B217" s="50">
        <v>44799</v>
      </c>
      <c r="C217">
        <v>8</v>
      </c>
      <c r="D217" s="51" t="s">
        <v>29</v>
      </c>
      <c r="E217">
        <v>510</v>
      </c>
      <c r="F217" s="51" t="s">
        <v>38</v>
      </c>
      <c r="G217">
        <v>6</v>
      </c>
      <c r="H217">
        <v>36</v>
      </c>
      <c r="I217" s="51" t="s">
        <v>20</v>
      </c>
      <c r="J217" t="s">
        <v>66</v>
      </c>
      <c r="K217" t="s">
        <v>74</v>
      </c>
      <c r="L217">
        <v>8</v>
      </c>
      <c r="M217" t="s">
        <v>76</v>
      </c>
    </row>
    <row r="218" spans="1:13" x14ac:dyDescent="0.3">
      <c r="A218">
        <v>2022</v>
      </c>
      <c r="B218" s="50">
        <v>44809</v>
      </c>
      <c r="C218">
        <v>9</v>
      </c>
      <c r="D218" s="51" t="s">
        <v>30</v>
      </c>
      <c r="E218">
        <v>532</v>
      </c>
      <c r="F218" s="51" t="s">
        <v>49</v>
      </c>
      <c r="G218">
        <v>2</v>
      </c>
      <c r="H218">
        <v>20</v>
      </c>
      <c r="I218" s="51" t="s">
        <v>20</v>
      </c>
      <c r="J218" t="s">
        <v>66</v>
      </c>
      <c r="K218" t="s">
        <v>74</v>
      </c>
      <c r="L218">
        <v>9</v>
      </c>
      <c r="M218" t="s">
        <v>77</v>
      </c>
    </row>
    <row r="219" spans="1:13" x14ac:dyDescent="0.3">
      <c r="A219">
        <v>2022</v>
      </c>
      <c r="B219" s="50">
        <v>44809</v>
      </c>
      <c r="C219">
        <v>9</v>
      </c>
      <c r="D219" s="51" t="s">
        <v>30</v>
      </c>
      <c r="E219">
        <v>544</v>
      </c>
      <c r="F219" s="51" t="s">
        <v>23</v>
      </c>
      <c r="G219">
        <v>3</v>
      </c>
      <c r="H219">
        <v>36</v>
      </c>
      <c r="I219" s="51" t="s">
        <v>20</v>
      </c>
      <c r="J219" t="s">
        <v>66</v>
      </c>
      <c r="K219" t="s">
        <v>74</v>
      </c>
      <c r="L219">
        <v>9</v>
      </c>
      <c r="M219" t="s">
        <v>77</v>
      </c>
    </row>
    <row r="220" spans="1:13" x14ac:dyDescent="0.3">
      <c r="A220">
        <v>2022</v>
      </c>
      <c r="B220" s="50">
        <v>44811</v>
      </c>
      <c r="C220">
        <v>9</v>
      </c>
      <c r="D220" s="51" t="s">
        <v>30</v>
      </c>
      <c r="E220">
        <v>536</v>
      </c>
      <c r="F220" s="51" t="s">
        <v>48</v>
      </c>
      <c r="G220">
        <v>5</v>
      </c>
      <c r="H220">
        <v>25</v>
      </c>
      <c r="I220" s="51" t="s">
        <v>20</v>
      </c>
      <c r="J220" t="s">
        <v>66</v>
      </c>
      <c r="K220" t="s">
        <v>74</v>
      </c>
      <c r="L220">
        <v>9</v>
      </c>
      <c r="M220" t="s">
        <v>77</v>
      </c>
    </row>
    <row r="221" spans="1:13" x14ac:dyDescent="0.3">
      <c r="A221">
        <v>2022</v>
      </c>
      <c r="B221" s="50">
        <v>44813</v>
      </c>
      <c r="C221">
        <v>9</v>
      </c>
      <c r="D221" s="51" t="s">
        <v>30</v>
      </c>
      <c r="E221">
        <v>514</v>
      </c>
      <c r="F221" s="51" t="s">
        <v>40</v>
      </c>
      <c r="G221">
        <v>7</v>
      </c>
      <c r="H221">
        <v>45.5</v>
      </c>
      <c r="I221" s="51" t="s">
        <v>20</v>
      </c>
      <c r="J221" t="s">
        <v>66</v>
      </c>
      <c r="K221" t="s">
        <v>74</v>
      </c>
      <c r="L221">
        <v>9</v>
      </c>
      <c r="M221" t="s">
        <v>77</v>
      </c>
    </row>
    <row r="222" spans="1:13" x14ac:dyDescent="0.3">
      <c r="A222">
        <v>2022</v>
      </c>
      <c r="B222" s="50">
        <v>44813</v>
      </c>
      <c r="C222">
        <v>9</v>
      </c>
      <c r="D222" s="51" t="s">
        <v>30</v>
      </c>
      <c r="E222">
        <v>548</v>
      </c>
      <c r="F222" s="51" t="s">
        <v>37</v>
      </c>
      <c r="G222">
        <v>10</v>
      </c>
      <c r="H222">
        <v>20</v>
      </c>
      <c r="I222" s="51" t="s">
        <v>20</v>
      </c>
      <c r="J222" t="s">
        <v>66</v>
      </c>
      <c r="K222" t="s">
        <v>74</v>
      </c>
      <c r="L222">
        <v>9</v>
      </c>
      <c r="M222" t="s">
        <v>77</v>
      </c>
    </row>
    <row r="223" spans="1:13" x14ac:dyDescent="0.3">
      <c r="A223">
        <v>2022</v>
      </c>
      <c r="B223" s="50">
        <v>44816</v>
      </c>
      <c r="C223">
        <v>9</v>
      </c>
      <c r="D223" s="51" t="s">
        <v>30</v>
      </c>
      <c r="E223">
        <v>540</v>
      </c>
      <c r="F223" s="51" t="s">
        <v>42</v>
      </c>
      <c r="G223">
        <v>5</v>
      </c>
      <c r="H223">
        <v>37.5</v>
      </c>
      <c r="I223" s="51" t="s">
        <v>20</v>
      </c>
      <c r="J223" t="s">
        <v>66</v>
      </c>
      <c r="K223" t="s">
        <v>74</v>
      </c>
      <c r="L223">
        <v>9</v>
      </c>
      <c r="M223" t="s">
        <v>77</v>
      </c>
    </row>
    <row r="224" spans="1:13" x14ac:dyDescent="0.3">
      <c r="A224">
        <v>2022</v>
      </c>
      <c r="B224" s="50">
        <v>44816</v>
      </c>
      <c r="C224">
        <v>9</v>
      </c>
      <c r="D224" s="51" t="s">
        <v>30</v>
      </c>
      <c r="E224">
        <v>560</v>
      </c>
      <c r="F224" s="51" t="s">
        <v>45</v>
      </c>
      <c r="G224">
        <v>5</v>
      </c>
      <c r="H224">
        <v>40</v>
      </c>
      <c r="I224" s="51" t="s">
        <v>20</v>
      </c>
      <c r="J224" t="s">
        <v>66</v>
      </c>
      <c r="K224" t="s">
        <v>74</v>
      </c>
      <c r="L224">
        <v>9</v>
      </c>
      <c r="M224" t="s">
        <v>77</v>
      </c>
    </row>
    <row r="225" spans="1:13" x14ac:dyDescent="0.3">
      <c r="A225">
        <v>2022</v>
      </c>
      <c r="B225" s="50">
        <v>44818</v>
      </c>
      <c r="C225">
        <v>9</v>
      </c>
      <c r="D225" s="51" t="s">
        <v>30</v>
      </c>
      <c r="E225">
        <v>516</v>
      </c>
      <c r="F225" s="51" t="s">
        <v>39</v>
      </c>
      <c r="G225">
        <v>7</v>
      </c>
      <c r="H225">
        <v>31.5</v>
      </c>
      <c r="I225" s="51" t="s">
        <v>20</v>
      </c>
      <c r="J225" t="s">
        <v>66</v>
      </c>
      <c r="K225" t="s">
        <v>74</v>
      </c>
      <c r="L225">
        <v>9</v>
      </c>
      <c r="M225" t="s">
        <v>77</v>
      </c>
    </row>
    <row r="226" spans="1:13" x14ac:dyDescent="0.3">
      <c r="A226">
        <v>2022</v>
      </c>
      <c r="B226" s="50">
        <v>44818</v>
      </c>
      <c r="C226">
        <v>9</v>
      </c>
      <c r="D226" s="51" t="s">
        <v>30</v>
      </c>
      <c r="E226">
        <v>530</v>
      </c>
      <c r="F226" s="51" t="s">
        <v>41</v>
      </c>
      <c r="G226">
        <v>5</v>
      </c>
      <c r="H226">
        <v>42.5</v>
      </c>
      <c r="I226" s="51" t="s">
        <v>20</v>
      </c>
      <c r="J226" t="s">
        <v>66</v>
      </c>
      <c r="K226" t="s">
        <v>74</v>
      </c>
      <c r="L226">
        <v>9</v>
      </c>
      <c r="M226" t="s">
        <v>77</v>
      </c>
    </row>
    <row r="227" spans="1:13" x14ac:dyDescent="0.3">
      <c r="A227">
        <v>2022</v>
      </c>
      <c r="B227" s="50">
        <v>44820</v>
      </c>
      <c r="C227">
        <v>9</v>
      </c>
      <c r="D227" s="51" t="s">
        <v>30</v>
      </c>
      <c r="E227">
        <v>518</v>
      </c>
      <c r="F227" s="51" t="s">
        <v>35</v>
      </c>
      <c r="G227">
        <v>4</v>
      </c>
      <c r="H227">
        <v>16</v>
      </c>
      <c r="I227" s="51" t="s">
        <v>20</v>
      </c>
      <c r="J227" t="s">
        <v>66</v>
      </c>
      <c r="K227" t="s">
        <v>74</v>
      </c>
      <c r="L227">
        <v>9</v>
      </c>
      <c r="M227" t="s">
        <v>77</v>
      </c>
    </row>
    <row r="228" spans="1:13" x14ac:dyDescent="0.3">
      <c r="A228">
        <v>2022</v>
      </c>
      <c r="B228" s="50">
        <v>44820</v>
      </c>
      <c r="C228">
        <v>9</v>
      </c>
      <c r="D228" s="51" t="s">
        <v>30</v>
      </c>
      <c r="E228">
        <v>524</v>
      </c>
      <c r="F228" s="51" t="s">
        <v>43</v>
      </c>
      <c r="G228">
        <v>3</v>
      </c>
      <c r="H228">
        <v>6</v>
      </c>
      <c r="I228" s="51" t="s">
        <v>20</v>
      </c>
      <c r="J228" t="s">
        <v>66</v>
      </c>
      <c r="K228" t="s">
        <v>74</v>
      </c>
      <c r="L228">
        <v>9</v>
      </c>
      <c r="M228" t="s">
        <v>77</v>
      </c>
    </row>
    <row r="229" spans="1:13" x14ac:dyDescent="0.3">
      <c r="A229">
        <v>2022</v>
      </c>
      <c r="B229" s="50">
        <v>44830</v>
      </c>
      <c r="C229">
        <v>9</v>
      </c>
      <c r="D229" s="51" t="s">
        <v>30</v>
      </c>
      <c r="E229">
        <v>542</v>
      </c>
      <c r="F229" s="51" t="s">
        <v>46</v>
      </c>
      <c r="G229">
        <v>4</v>
      </c>
      <c r="H229">
        <v>40</v>
      </c>
      <c r="I229" s="51" t="s">
        <v>20</v>
      </c>
      <c r="J229" t="s">
        <v>66</v>
      </c>
      <c r="K229" t="s">
        <v>74</v>
      </c>
      <c r="L229">
        <v>9</v>
      </c>
      <c r="M229" t="s">
        <v>77</v>
      </c>
    </row>
    <row r="230" spans="1:13" x14ac:dyDescent="0.3">
      <c r="A230">
        <v>2022</v>
      </c>
      <c r="B230" s="50">
        <v>44832</v>
      </c>
      <c r="C230">
        <v>9</v>
      </c>
      <c r="D230" s="51" t="s">
        <v>30</v>
      </c>
      <c r="E230">
        <v>510</v>
      </c>
      <c r="F230" s="51" t="s">
        <v>38</v>
      </c>
      <c r="G230">
        <v>6</v>
      </c>
      <c r="H230">
        <v>36</v>
      </c>
      <c r="I230" s="51" t="s">
        <v>20</v>
      </c>
      <c r="J230" t="s">
        <v>66</v>
      </c>
      <c r="K230" t="s">
        <v>74</v>
      </c>
      <c r="L230">
        <v>9</v>
      </c>
      <c r="M230" t="s">
        <v>77</v>
      </c>
    </row>
    <row r="231" spans="1:13" x14ac:dyDescent="0.3">
      <c r="A231">
        <v>2022</v>
      </c>
      <c r="B231" s="50">
        <v>44834</v>
      </c>
      <c r="C231">
        <v>9</v>
      </c>
      <c r="D231" s="51" t="s">
        <v>30</v>
      </c>
      <c r="E231">
        <v>562</v>
      </c>
      <c r="F231" s="51" t="s">
        <v>44</v>
      </c>
      <c r="G231">
        <v>5</v>
      </c>
      <c r="H231">
        <v>25</v>
      </c>
      <c r="I231" s="51" t="s">
        <v>20</v>
      </c>
      <c r="J231" t="s">
        <v>66</v>
      </c>
      <c r="K231" t="s">
        <v>74</v>
      </c>
      <c r="L231">
        <v>9</v>
      </c>
      <c r="M231" t="s">
        <v>77</v>
      </c>
    </row>
    <row r="232" spans="1:13" x14ac:dyDescent="0.3">
      <c r="A232">
        <v>2022</v>
      </c>
      <c r="B232" s="50">
        <v>44834</v>
      </c>
      <c r="C232">
        <v>9</v>
      </c>
      <c r="D232" s="51" t="s">
        <v>30</v>
      </c>
      <c r="E232">
        <v>510</v>
      </c>
      <c r="F232" s="51" t="s">
        <v>38</v>
      </c>
      <c r="G232">
        <v>6</v>
      </c>
      <c r="H232">
        <v>36</v>
      </c>
      <c r="I232" s="51" t="s">
        <v>20</v>
      </c>
      <c r="J232" t="s">
        <v>66</v>
      </c>
      <c r="K232" t="s">
        <v>74</v>
      </c>
      <c r="L232">
        <v>9</v>
      </c>
      <c r="M232" t="s">
        <v>77</v>
      </c>
    </row>
    <row r="233" spans="1:13" x14ac:dyDescent="0.3">
      <c r="A233">
        <v>2022</v>
      </c>
      <c r="B233" s="50">
        <v>44837</v>
      </c>
      <c r="C233">
        <v>10</v>
      </c>
      <c r="D233" s="51" t="s">
        <v>31</v>
      </c>
      <c r="E233">
        <v>532</v>
      </c>
      <c r="F233" s="51" t="s">
        <v>49</v>
      </c>
      <c r="G233">
        <v>3</v>
      </c>
      <c r="H233">
        <v>30</v>
      </c>
      <c r="I233" s="51" t="s">
        <v>20</v>
      </c>
      <c r="J233" t="s">
        <v>66</v>
      </c>
      <c r="K233" t="s">
        <v>78</v>
      </c>
      <c r="L233">
        <v>10</v>
      </c>
      <c r="M233" t="s">
        <v>79</v>
      </c>
    </row>
    <row r="234" spans="1:13" x14ac:dyDescent="0.3">
      <c r="A234">
        <v>2022</v>
      </c>
      <c r="B234" s="50">
        <v>44837</v>
      </c>
      <c r="C234">
        <v>10</v>
      </c>
      <c r="D234" s="51" t="s">
        <v>31</v>
      </c>
      <c r="E234">
        <v>544</v>
      </c>
      <c r="F234" s="51" t="s">
        <v>23</v>
      </c>
      <c r="G234">
        <v>4</v>
      </c>
      <c r="H234">
        <v>48</v>
      </c>
      <c r="I234" s="51" t="s">
        <v>20</v>
      </c>
      <c r="J234" t="s">
        <v>66</v>
      </c>
      <c r="K234" t="s">
        <v>78</v>
      </c>
      <c r="L234">
        <v>10</v>
      </c>
      <c r="M234" t="s">
        <v>79</v>
      </c>
    </row>
    <row r="235" spans="1:13" x14ac:dyDescent="0.3">
      <c r="A235">
        <v>2022</v>
      </c>
      <c r="B235" s="50">
        <v>44839</v>
      </c>
      <c r="C235">
        <v>10</v>
      </c>
      <c r="D235" s="51" t="s">
        <v>31</v>
      </c>
      <c r="E235">
        <v>536</v>
      </c>
      <c r="F235" s="51" t="s">
        <v>48</v>
      </c>
      <c r="G235">
        <v>5</v>
      </c>
      <c r="H235">
        <v>25</v>
      </c>
      <c r="I235" s="51" t="s">
        <v>20</v>
      </c>
      <c r="J235" t="s">
        <v>66</v>
      </c>
      <c r="K235" t="s">
        <v>78</v>
      </c>
      <c r="L235">
        <v>10</v>
      </c>
      <c r="M235" t="s">
        <v>79</v>
      </c>
    </row>
    <row r="236" spans="1:13" x14ac:dyDescent="0.3">
      <c r="A236">
        <v>2022</v>
      </c>
      <c r="B236" s="50">
        <v>44839</v>
      </c>
      <c r="C236">
        <v>10</v>
      </c>
      <c r="D236" s="51" t="s">
        <v>31</v>
      </c>
      <c r="E236">
        <v>542</v>
      </c>
      <c r="F236" s="51" t="s">
        <v>46</v>
      </c>
      <c r="G236">
        <v>1</v>
      </c>
      <c r="H236">
        <v>10</v>
      </c>
      <c r="I236" s="51" t="s">
        <v>20</v>
      </c>
      <c r="J236" t="s">
        <v>66</v>
      </c>
      <c r="K236" t="s">
        <v>78</v>
      </c>
      <c r="L236">
        <v>10</v>
      </c>
      <c r="M236" t="s">
        <v>79</v>
      </c>
    </row>
    <row r="237" spans="1:13" x14ac:dyDescent="0.3">
      <c r="A237">
        <v>2022</v>
      </c>
      <c r="B237" s="50">
        <v>44841</v>
      </c>
      <c r="C237">
        <v>10</v>
      </c>
      <c r="D237" s="51" t="s">
        <v>31</v>
      </c>
      <c r="E237">
        <v>514</v>
      </c>
      <c r="F237" s="51" t="s">
        <v>40</v>
      </c>
      <c r="G237">
        <v>6</v>
      </c>
      <c r="H237">
        <v>39</v>
      </c>
      <c r="I237" s="51" t="s">
        <v>20</v>
      </c>
      <c r="J237" t="s">
        <v>66</v>
      </c>
      <c r="K237" t="s">
        <v>78</v>
      </c>
      <c r="L237">
        <v>10</v>
      </c>
      <c r="M237" t="s">
        <v>79</v>
      </c>
    </row>
    <row r="238" spans="1:13" x14ac:dyDescent="0.3">
      <c r="A238">
        <v>2022</v>
      </c>
      <c r="B238" s="50">
        <v>44841</v>
      </c>
      <c r="C238">
        <v>10</v>
      </c>
      <c r="D238" s="51" t="s">
        <v>31</v>
      </c>
      <c r="E238">
        <v>548</v>
      </c>
      <c r="F238" s="51" t="s">
        <v>37</v>
      </c>
      <c r="G238">
        <v>10</v>
      </c>
      <c r="H238">
        <v>20</v>
      </c>
      <c r="I238" s="51" t="s">
        <v>20</v>
      </c>
      <c r="J238" t="s">
        <v>66</v>
      </c>
      <c r="K238" t="s">
        <v>78</v>
      </c>
      <c r="L238">
        <v>10</v>
      </c>
      <c r="M238" t="s">
        <v>79</v>
      </c>
    </row>
    <row r="239" spans="1:13" x14ac:dyDescent="0.3">
      <c r="A239">
        <v>2022</v>
      </c>
      <c r="B239" s="50">
        <v>44842</v>
      </c>
      <c r="C239">
        <v>10</v>
      </c>
      <c r="D239" s="51" t="s">
        <v>31</v>
      </c>
      <c r="E239">
        <v>580</v>
      </c>
      <c r="F239" s="51" t="s">
        <v>25</v>
      </c>
      <c r="G239">
        <v>7</v>
      </c>
      <c r="H239">
        <v>56</v>
      </c>
      <c r="I239" s="51" t="s">
        <v>20</v>
      </c>
      <c r="J239" t="s">
        <v>66</v>
      </c>
      <c r="K239" t="s">
        <v>78</v>
      </c>
      <c r="L239">
        <v>10</v>
      </c>
      <c r="M239" t="s">
        <v>79</v>
      </c>
    </row>
    <row r="240" spans="1:13" x14ac:dyDescent="0.3">
      <c r="A240">
        <v>2022</v>
      </c>
      <c r="B240" s="50">
        <v>44842</v>
      </c>
      <c r="C240">
        <v>10</v>
      </c>
      <c r="D240" s="51" t="s">
        <v>31</v>
      </c>
      <c r="E240">
        <v>522</v>
      </c>
      <c r="F240" s="51" t="s">
        <v>21</v>
      </c>
      <c r="G240">
        <v>5</v>
      </c>
      <c r="H240">
        <v>20</v>
      </c>
      <c r="I240" s="51" t="s">
        <v>20</v>
      </c>
      <c r="J240" t="s">
        <v>66</v>
      </c>
      <c r="K240" t="s">
        <v>78</v>
      </c>
      <c r="L240">
        <v>10</v>
      </c>
      <c r="M240" t="s">
        <v>79</v>
      </c>
    </row>
    <row r="241" spans="1:13" x14ac:dyDescent="0.3">
      <c r="A241">
        <v>2022</v>
      </c>
      <c r="B241" s="50">
        <v>44842</v>
      </c>
      <c r="C241">
        <v>10</v>
      </c>
      <c r="D241" s="51" t="s">
        <v>31</v>
      </c>
      <c r="E241">
        <v>524</v>
      </c>
      <c r="F241" s="51" t="s">
        <v>43</v>
      </c>
      <c r="G241">
        <v>3</v>
      </c>
      <c r="H241">
        <v>6</v>
      </c>
      <c r="I241" s="51" t="s">
        <v>20</v>
      </c>
      <c r="J241" t="s">
        <v>66</v>
      </c>
      <c r="K241" t="s">
        <v>78</v>
      </c>
      <c r="L241">
        <v>10</v>
      </c>
      <c r="M241" t="s">
        <v>79</v>
      </c>
    </row>
    <row r="242" spans="1:13" x14ac:dyDescent="0.3">
      <c r="A242">
        <v>2022</v>
      </c>
      <c r="B242" s="50">
        <v>44842</v>
      </c>
      <c r="C242">
        <v>10</v>
      </c>
      <c r="D242" s="51" t="s">
        <v>31</v>
      </c>
      <c r="E242">
        <v>530</v>
      </c>
      <c r="F242" s="51" t="s">
        <v>41</v>
      </c>
      <c r="G242">
        <v>6</v>
      </c>
      <c r="H242">
        <v>51</v>
      </c>
      <c r="I242" s="51" t="s">
        <v>20</v>
      </c>
      <c r="J242" t="s">
        <v>66</v>
      </c>
      <c r="K242" t="s">
        <v>78</v>
      </c>
      <c r="L242">
        <v>10</v>
      </c>
      <c r="M242" t="s">
        <v>79</v>
      </c>
    </row>
    <row r="243" spans="1:13" x14ac:dyDescent="0.3">
      <c r="A243">
        <v>2022</v>
      </c>
      <c r="B243" s="50">
        <v>44842</v>
      </c>
      <c r="C243">
        <v>10</v>
      </c>
      <c r="D243" s="51" t="s">
        <v>31</v>
      </c>
      <c r="E243">
        <v>540</v>
      </c>
      <c r="F243" s="51" t="s">
        <v>42</v>
      </c>
      <c r="G243">
        <v>5</v>
      </c>
      <c r="H243">
        <v>37.5</v>
      </c>
      <c r="I243" s="51" t="s">
        <v>20</v>
      </c>
      <c r="J243" t="s">
        <v>66</v>
      </c>
      <c r="K243" t="s">
        <v>78</v>
      </c>
      <c r="L243">
        <v>10</v>
      </c>
      <c r="M243" t="s">
        <v>79</v>
      </c>
    </row>
    <row r="244" spans="1:13" x14ac:dyDescent="0.3">
      <c r="A244">
        <v>2022</v>
      </c>
      <c r="B244" s="50">
        <v>44844</v>
      </c>
      <c r="C244">
        <v>10</v>
      </c>
      <c r="D244" s="51" t="s">
        <v>31</v>
      </c>
      <c r="E244">
        <v>540</v>
      </c>
      <c r="F244" s="51" t="s">
        <v>42</v>
      </c>
      <c r="G244">
        <v>5</v>
      </c>
      <c r="H244">
        <v>37.5</v>
      </c>
      <c r="I244" s="51" t="s">
        <v>20</v>
      </c>
      <c r="J244" t="s">
        <v>66</v>
      </c>
      <c r="K244" t="s">
        <v>78</v>
      </c>
      <c r="L244">
        <v>10</v>
      </c>
      <c r="M244" t="s">
        <v>79</v>
      </c>
    </row>
    <row r="245" spans="1:13" x14ac:dyDescent="0.3">
      <c r="A245">
        <v>2022</v>
      </c>
      <c r="B245" s="50">
        <v>44844</v>
      </c>
      <c r="C245">
        <v>10</v>
      </c>
      <c r="D245" s="51" t="s">
        <v>31</v>
      </c>
      <c r="E245">
        <v>560</v>
      </c>
      <c r="F245" s="51" t="s">
        <v>45</v>
      </c>
      <c r="G245">
        <v>5</v>
      </c>
      <c r="H245">
        <v>40</v>
      </c>
      <c r="I245" s="51" t="s">
        <v>20</v>
      </c>
      <c r="J245" t="s">
        <v>66</v>
      </c>
      <c r="K245" t="s">
        <v>78</v>
      </c>
      <c r="L245">
        <v>10</v>
      </c>
      <c r="M245" t="s">
        <v>79</v>
      </c>
    </row>
    <row r="246" spans="1:13" x14ac:dyDescent="0.3">
      <c r="A246">
        <v>2022</v>
      </c>
      <c r="B246" s="50">
        <v>44846</v>
      </c>
      <c r="C246">
        <v>10</v>
      </c>
      <c r="D246" s="51" t="s">
        <v>31</v>
      </c>
      <c r="E246">
        <v>516</v>
      </c>
      <c r="F246" s="51" t="s">
        <v>39</v>
      </c>
      <c r="G246">
        <v>7</v>
      </c>
      <c r="H246">
        <v>31.5</v>
      </c>
      <c r="I246" s="51" t="s">
        <v>20</v>
      </c>
      <c r="J246" t="s">
        <v>66</v>
      </c>
      <c r="K246" t="s">
        <v>78</v>
      </c>
      <c r="L246">
        <v>10</v>
      </c>
      <c r="M246" t="s">
        <v>79</v>
      </c>
    </row>
    <row r="247" spans="1:13" x14ac:dyDescent="0.3">
      <c r="A247">
        <v>2022</v>
      </c>
      <c r="B247" s="50">
        <v>44846</v>
      </c>
      <c r="C247">
        <v>10</v>
      </c>
      <c r="D247" s="51" t="s">
        <v>31</v>
      </c>
      <c r="E247">
        <v>530</v>
      </c>
      <c r="F247" s="51" t="s">
        <v>41</v>
      </c>
      <c r="G247">
        <v>5</v>
      </c>
      <c r="H247">
        <v>42.5</v>
      </c>
      <c r="I247" s="51" t="s">
        <v>20</v>
      </c>
      <c r="J247" t="s">
        <v>66</v>
      </c>
      <c r="K247" t="s">
        <v>78</v>
      </c>
      <c r="L247">
        <v>10</v>
      </c>
      <c r="M247" t="s">
        <v>79</v>
      </c>
    </row>
    <row r="248" spans="1:13" x14ac:dyDescent="0.3">
      <c r="A248">
        <v>2022</v>
      </c>
      <c r="B248" s="50">
        <v>44848</v>
      </c>
      <c r="C248">
        <v>10</v>
      </c>
      <c r="D248" s="51" t="s">
        <v>31</v>
      </c>
      <c r="E248">
        <v>518</v>
      </c>
      <c r="F248" s="51" t="s">
        <v>35</v>
      </c>
      <c r="G248">
        <v>4</v>
      </c>
      <c r="H248">
        <v>16</v>
      </c>
      <c r="I248" s="51" t="s">
        <v>20</v>
      </c>
      <c r="J248" t="s">
        <v>66</v>
      </c>
      <c r="K248" t="s">
        <v>78</v>
      </c>
      <c r="L248">
        <v>10</v>
      </c>
      <c r="M248" t="s">
        <v>79</v>
      </c>
    </row>
    <row r="249" spans="1:13" x14ac:dyDescent="0.3">
      <c r="A249">
        <v>2022</v>
      </c>
      <c r="B249" s="50">
        <v>44848</v>
      </c>
      <c r="C249">
        <v>10</v>
      </c>
      <c r="D249" s="51" t="s">
        <v>31</v>
      </c>
      <c r="E249">
        <v>524</v>
      </c>
      <c r="F249" s="51" t="s">
        <v>43</v>
      </c>
      <c r="G249">
        <v>3</v>
      </c>
      <c r="H249">
        <v>6</v>
      </c>
      <c r="I249" s="51" t="s">
        <v>20</v>
      </c>
      <c r="J249" t="s">
        <v>66</v>
      </c>
      <c r="K249" t="s">
        <v>78</v>
      </c>
      <c r="L249">
        <v>10</v>
      </c>
      <c r="M249" t="s">
        <v>79</v>
      </c>
    </row>
    <row r="250" spans="1:13" x14ac:dyDescent="0.3">
      <c r="A250">
        <v>2022</v>
      </c>
      <c r="B250" s="50">
        <v>44858</v>
      </c>
      <c r="C250">
        <v>10</v>
      </c>
      <c r="D250" s="51" t="s">
        <v>31</v>
      </c>
      <c r="E250">
        <v>542</v>
      </c>
      <c r="F250" s="51" t="s">
        <v>46</v>
      </c>
      <c r="G250">
        <v>3</v>
      </c>
      <c r="H250">
        <v>30</v>
      </c>
      <c r="I250" s="51" t="s">
        <v>20</v>
      </c>
      <c r="J250" t="s">
        <v>66</v>
      </c>
      <c r="K250" t="s">
        <v>78</v>
      </c>
      <c r="L250">
        <v>10</v>
      </c>
      <c r="M250" t="s">
        <v>79</v>
      </c>
    </row>
    <row r="251" spans="1:13" x14ac:dyDescent="0.3">
      <c r="A251">
        <v>2022</v>
      </c>
      <c r="B251" s="50">
        <v>44860</v>
      </c>
      <c r="C251">
        <v>10</v>
      </c>
      <c r="D251" s="51" t="s">
        <v>31</v>
      </c>
      <c r="E251">
        <v>510</v>
      </c>
      <c r="F251" s="51" t="s">
        <v>38</v>
      </c>
      <c r="G251">
        <v>6</v>
      </c>
      <c r="H251">
        <v>36</v>
      </c>
      <c r="I251" s="51" t="s">
        <v>20</v>
      </c>
      <c r="J251" t="s">
        <v>66</v>
      </c>
      <c r="K251" t="s">
        <v>78</v>
      </c>
      <c r="L251">
        <v>10</v>
      </c>
      <c r="M251" t="s">
        <v>79</v>
      </c>
    </row>
    <row r="252" spans="1:13" x14ac:dyDescent="0.3">
      <c r="A252">
        <v>2022</v>
      </c>
      <c r="B252" s="50">
        <v>44862</v>
      </c>
      <c r="C252">
        <v>10</v>
      </c>
      <c r="D252" s="51" t="s">
        <v>31</v>
      </c>
      <c r="E252">
        <v>562</v>
      </c>
      <c r="F252" s="51" t="s">
        <v>44</v>
      </c>
      <c r="G252">
        <v>5</v>
      </c>
      <c r="H252">
        <v>25</v>
      </c>
      <c r="I252" s="51" t="s">
        <v>20</v>
      </c>
      <c r="J252" t="s">
        <v>66</v>
      </c>
      <c r="K252" t="s">
        <v>78</v>
      </c>
      <c r="L252">
        <v>10</v>
      </c>
      <c r="M252" t="s">
        <v>79</v>
      </c>
    </row>
    <row r="253" spans="1:13" x14ac:dyDescent="0.3">
      <c r="A253">
        <v>2022</v>
      </c>
      <c r="B253" s="50">
        <v>44862</v>
      </c>
      <c r="C253">
        <v>10</v>
      </c>
      <c r="D253" s="51" t="s">
        <v>31</v>
      </c>
      <c r="E253">
        <v>510</v>
      </c>
      <c r="F253" s="51" t="s">
        <v>38</v>
      </c>
      <c r="G253">
        <v>6</v>
      </c>
      <c r="H253">
        <v>36</v>
      </c>
      <c r="I253" s="51" t="s">
        <v>20</v>
      </c>
      <c r="J253" t="s">
        <v>66</v>
      </c>
      <c r="K253" t="s">
        <v>78</v>
      </c>
      <c r="L253">
        <v>10</v>
      </c>
      <c r="M253" t="s">
        <v>79</v>
      </c>
    </row>
    <row r="254" spans="1:13" x14ac:dyDescent="0.3">
      <c r="A254">
        <v>2022</v>
      </c>
      <c r="B254" s="50">
        <v>44866</v>
      </c>
      <c r="C254">
        <v>11</v>
      </c>
      <c r="D254" s="51" t="s">
        <v>32</v>
      </c>
      <c r="E254">
        <v>532</v>
      </c>
      <c r="F254" s="51" t="s">
        <v>49</v>
      </c>
      <c r="G254">
        <v>1</v>
      </c>
      <c r="H254">
        <v>10</v>
      </c>
      <c r="I254" s="51" t="s">
        <v>20</v>
      </c>
      <c r="J254" t="s">
        <v>66</v>
      </c>
      <c r="K254" t="s">
        <v>78</v>
      </c>
      <c r="L254">
        <v>11</v>
      </c>
      <c r="M254" t="s">
        <v>80</v>
      </c>
    </row>
    <row r="255" spans="1:13" x14ac:dyDescent="0.3">
      <c r="A255">
        <v>2022</v>
      </c>
      <c r="B255" s="50">
        <v>44866</v>
      </c>
      <c r="C255">
        <v>11</v>
      </c>
      <c r="D255" s="51" t="s">
        <v>32</v>
      </c>
      <c r="E255">
        <v>544</v>
      </c>
      <c r="F255" s="51" t="s">
        <v>23</v>
      </c>
      <c r="G255">
        <v>3</v>
      </c>
      <c r="H255">
        <v>36</v>
      </c>
      <c r="I255" s="51" t="s">
        <v>20</v>
      </c>
      <c r="J255" t="s">
        <v>66</v>
      </c>
      <c r="K255" t="s">
        <v>78</v>
      </c>
      <c r="L255">
        <v>11</v>
      </c>
      <c r="M255" t="s">
        <v>80</v>
      </c>
    </row>
    <row r="256" spans="1:13" x14ac:dyDescent="0.3">
      <c r="A256">
        <v>2022</v>
      </c>
      <c r="B256" s="50">
        <v>44868</v>
      </c>
      <c r="C256">
        <v>11</v>
      </c>
      <c r="D256" s="51" t="s">
        <v>32</v>
      </c>
      <c r="E256">
        <v>536</v>
      </c>
      <c r="F256" s="51" t="s">
        <v>48</v>
      </c>
      <c r="G256">
        <v>5</v>
      </c>
      <c r="H256">
        <v>25</v>
      </c>
      <c r="I256" s="51" t="s">
        <v>20</v>
      </c>
      <c r="J256" t="s">
        <v>66</v>
      </c>
      <c r="K256" t="s">
        <v>78</v>
      </c>
      <c r="L256">
        <v>11</v>
      </c>
      <c r="M256" t="s">
        <v>80</v>
      </c>
    </row>
    <row r="257" spans="1:13" x14ac:dyDescent="0.3">
      <c r="A257">
        <v>2022</v>
      </c>
      <c r="B257" s="50">
        <v>44868</v>
      </c>
      <c r="C257">
        <v>11</v>
      </c>
      <c r="D257" s="51" t="s">
        <v>32</v>
      </c>
      <c r="E257">
        <v>542</v>
      </c>
      <c r="F257" s="51" t="s">
        <v>46</v>
      </c>
      <c r="G257">
        <v>3</v>
      </c>
      <c r="H257">
        <v>30</v>
      </c>
      <c r="I257" s="51" t="s">
        <v>20</v>
      </c>
      <c r="J257" t="s">
        <v>66</v>
      </c>
      <c r="K257" t="s">
        <v>78</v>
      </c>
      <c r="L257">
        <v>11</v>
      </c>
      <c r="M257" t="s">
        <v>80</v>
      </c>
    </row>
    <row r="258" spans="1:13" x14ac:dyDescent="0.3">
      <c r="A258">
        <v>2022</v>
      </c>
      <c r="B258" s="50">
        <v>44879</v>
      </c>
      <c r="C258">
        <v>11</v>
      </c>
      <c r="D258" s="51" t="s">
        <v>32</v>
      </c>
      <c r="E258">
        <v>514</v>
      </c>
      <c r="F258" s="51" t="s">
        <v>40</v>
      </c>
      <c r="G258">
        <v>8</v>
      </c>
      <c r="H258">
        <v>52</v>
      </c>
      <c r="I258" s="51" t="s">
        <v>20</v>
      </c>
      <c r="J258" t="s">
        <v>66</v>
      </c>
      <c r="K258" t="s">
        <v>78</v>
      </c>
      <c r="L258">
        <v>11</v>
      </c>
      <c r="M258" t="s">
        <v>80</v>
      </c>
    </row>
    <row r="259" spans="1:13" x14ac:dyDescent="0.3">
      <c r="A259">
        <v>2022</v>
      </c>
      <c r="B259" s="50">
        <v>44879</v>
      </c>
      <c r="C259">
        <v>11</v>
      </c>
      <c r="D259" s="51" t="s">
        <v>32</v>
      </c>
      <c r="E259">
        <v>548</v>
      </c>
      <c r="F259" s="51" t="s">
        <v>37</v>
      </c>
      <c r="G259">
        <v>10</v>
      </c>
      <c r="H259">
        <v>20</v>
      </c>
      <c r="I259" s="51" t="s">
        <v>20</v>
      </c>
      <c r="J259" t="s">
        <v>66</v>
      </c>
      <c r="K259" t="s">
        <v>78</v>
      </c>
      <c r="L259">
        <v>11</v>
      </c>
      <c r="M259" t="s">
        <v>80</v>
      </c>
    </row>
    <row r="260" spans="1:13" x14ac:dyDescent="0.3">
      <c r="A260">
        <v>2022</v>
      </c>
      <c r="B260" s="50">
        <v>44881</v>
      </c>
      <c r="C260">
        <v>11</v>
      </c>
      <c r="D260" s="51" t="s">
        <v>32</v>
      </c>
      <c r="E260">
        <v>540</v>
      </c>
      <c r="F260" s="51" t="s">
        <v>42</v>
      </c>
      <c r="G260">
        <v>5</v>
      </c>
      <c r="H260">
        <v>37.5</v>
      </c>
      <c r="I260" s="51" t="s">
        <v>20</v>
      </c>
      <c r="J260" t="s">
        <v>66</v>
      </c>
      <c r="K260" t="s">
        <v>78</v>
      </c>
      <c r="L260">
        <v>11</v>
      </c>
      <c r="M260" t="s">
        <v>80</v>
      </c>
    </row>
    <row r="261" spans="1:13" x14ac:dyDescent="0.3">
      <c r="A261">
        <v>2022</v>
      </c>
      <c r="B261" s="50">
        <v>44881</v>
      </c>
      <c r="C261">
        <v>11</v>
      </c>
      <c r="D261" s="51" t="s">
        <v>32</v>
      </c>
      <c r="E261">
        <v>560</v>
      </c>
      <c r="F261" s="51" t="s">
        <v>45</v>
      </c>
      <c r="G261">
        <v>5</v>
      </c>
      <c r="H261">
        <v>40</v>
      </c>
      <c r="I261" s="51" t="s">
        <v>20</v>
      </c>
      <c r="J261" t="s">
        <v>66</v>
      </c>
      <c r="K261" t="s">
        <v>78</v>
      </c>
      <c r="L261">
        <v>11</v>
      </c>
      <c r="M261" t="s">
        <v>80</v>
      </c>
    </row>
    <row r="262" spans="1:13" x14ac:dyDescent="0.3">
      <c r="A262">
        <v>2022</v>
      </c>
      <c r="B262" s="50">
        <v>44883</v>
      </c>
      <c r="C262">
        <v>11</v>
      </c>
      <c r="D262" s="51" t="s">
        <v>32</v>
      </c>
      <c r="E262">
        <v>516</v>
      </c>
      <c r="F262" s="51" t="s">
        <v>39</v>
      </c>
      <c r="G262">
        <v>7</v>
      </c>
      <c r="H262">
        <v>31.5</v>
      </c>
      <c r="I262" s="51" t="s">
        <v>20</v>
      </c>
      <c r="J262" t="s">
        <v>66</v>
      </c>
      <c r="K262" t="s">
        <v>78</v>
      </c>
      <c r="L262">
        <v>11</v>
      </c>
      <c r="M262" t="s">
        <v>80</v>
      </c>
    </row>
    <row r="263" spans="1:13" x14ac:dyDescent="0.3">
      <c r="A263">
        <v>2022</v>
      </c>
      <c r="B263" s="50">
        <v>44883</v>
      </c>
      <c r="C263">
        <v>11</v>
      </c>
      <c r="D263" s="51" t="s">
        <v>32</v>
      </c>
      <c r="E263">
        <v>530</v>
      </c>
      <c r="F263" s="51" t="s">
        <v>41</v>
      </c>
      <c r="G263">
        <v>5</v>
      </c>
      <c r="H263">
        <v>42.5</v>
      </c>
      <c r="I263" s="51" t="s">
        <v>20</v>
      </c>
      <c r="J263" t="s">
        <v>66</v>
      </c>
      <c r="K263" t="s">
        <v>78</v>
      </c>
      <c r="L263">
        <v>11</v>
      </c>
      <c r="M263" t="s">
        <v>80</v>
      </c>
    </row>
    <row r="264" spans="1:13" x14ac:dyDescent="0.3">
      <c r="A264">
        <v>2022</v>
      </c>
      <c r="B264" s="50">
        <v>44886</v>
      </c>
      <c r="C264">
        <v>11</v>
      </c>
      <c r="D264" s="51" t="s">
        <v>32</v>
      </c>
      <c r="E264">
        <v>518</v>
      </c>
      <c r="F264" s="51" t="s">
        <v>35</v>
      </c>
      <c r="G264">
        <v>4</v>
      </c>
      <c r="H264">
        <v>16</v>
      </c>
      <c r="I264" s="51" t="s">
        <v>20</v>
      </c>
      <c r="J264" t="s">
        <v>66</v>
      </c>
      <c r="K264" t="s">
        <v>78</v>
      </c>
      <c r="L264">
        <v>11</v>
      </c>
      <c r="M264" t="s">
        <v>80</v>
      </c>
    </row>
    <row r="265" spans="1:13" x14ac:dyDescent="0.3">
      <c r="A265">
        <v>2022</v>
      </c>
      <c r="B265" s="50">
        <v>44886</v>
      </c>
      <c r="C265">
        <v>11</v>
      </c>
      <c r="D265" s="51" t="s">
        <v>32</v>
      </c>
      <c r="E265">
        <v>524</v>
      </c>
      <c r="F265" s="51" t="s">
        <v>43</v>
      </c>
      <c r="G265">
        <v>3</v>
      </c>
      <c r="H265">
        <v>6</v>
      </c>
      <c r="I265" s="51" t="s">
        <v>20</v>
      </c>
      <c r="J265" t="s">
        <v>66</v>
      </c>
      <c r="K265" t="s">
        <v>78</v>
      </c>
      <c r="L265">
        <v>11</v>
      </c>
      <c r="M265" t="s">
        <v>80</v>
      </c>
    </row>
    <row r="266" spans="1:13" x14ac:dyDescent="0.3">
      <c r="A266">
        <v>2022</v>
      </c>
      <c r="B266" s="50">
        <v>44888</v>
      </c>
      <c r="C266">
        <v>11</v>
      </c>
      <c r="D266" s="51" t="s">
        <v>32</v>
      </c>
      <c r="E266">
        <v>542</v>
      </c>
      <c r="F266" s="51" t="s">
        <v>46</v>
      </c>
      <c r="G266">
        <v>2</v>
      </c>
      <c r="H266">
        <v>20</v>
      </c>
      <c r="I266" s="51" t="s">
        <v>20</v>
      </c>
      <c r="J266" t="s">
        <v>66</v>
      </c>
      <c r="K266" t="s">
        <v>78</v>
      </c>
      <c r="L266">
        <v>11</v>
      </c>
      <c r="M266" t="s">
        <v>80</v>
      </c>
    </row>
    <row r="267" spans="1:13" x14ac:dyDescent="0.3">
      <c r="A267">
        <v>2022</v>
      </c>
      <c r="B267" s="50">
        <v>44890</v>
      </c>
      <c r="C267">
        <v>11</v>
      </c>
      <c r="D267" s="51" t="s">
        <v>32</v>
      </c>
      <c r="E267">
        <v>510</v>
      </c>
      <c r="F267" s="51" t="s">
        <v>38</v>
      </c>
      <c r="G267">
        <v>6</v>
      </c>
      <c r="H267">
        <v>36</v>
      </c>
      <c r="I267" s="51" t="s">
        <v>20</v>
      </c>
      <c r="J267" t="s">
        <v>66</v>
      </c>
      <c r="K267" t="s">
        <v>78</v>
      </c>
      <c r="L267">
        <v>11</v>
      </c>
      <c r="M267" t="s">
        <v>80</v>
      </c>
    </row>
    <row r="268" spans="1:13" x14ac:dyDescent="0.3">
      <c r="A268">
        <v>2022</v>
      </c>
      <c r="B268" s="50">
        <v>44893</v>
      </c>
      <c r="C268">
        <v>11</v>
      </c>
      <c r="D268" s="51" t="s">
        <v>32</v>
      </c>
      <c r="E268">
        <v>562</v>
      </c>
      <c r="F268" s="51" t="s">
        <v>44</v>
      </c>
      <c r="G268">
        <v>5</v>
      </c>
      <c r="H268">
        <v>25</v>
      </c>
      <c r="I268" s="51" t="s">
        <v>20</v>
      </c>
      <c r="J268" t="s">
        <v>66</v>
      </c>
      <c r="K268" t="s">
        <v>78</v>
      </c>
      <c r="L268">
        <v>11</v>
      </c>
      <c r="M268" t="s">
        <v>80</v>
      </c>
    </row>
    <row r="269" spans="1:13" x14ac:dyDescent="0.3">
      <c r="A269">
        <v>2022</v>
      </c>
      <c r="B269" s="50">
        <v>44893</v>
      </c>
      <c r="C269">
        <v>11</v>
      </c>
      <c r="D269" s="51" t="s">
        <v>32</v>
      </c>
      <c r="E269">
        <v>510</v>
      </c>
      <c r="F269" s="51" t="s">
        <v>38</v>
      </c>
      <c r="G269">
        <v>6</v>
      </c>
      <c r="H269">
        <v>36</v>
      </c>
      <c r="I269" s="51" t="s">
        <v>20</v>
      </c>
      <c r="J269" t="s">
        <v>66</v>
      </c>
      <c r="K269" t="s">
        <v>78</v>
      </c>
      <c r="L269">
        <v>11</v>
      </c>
      <c r="M269" t="s">
        <v>80</v>
      </c>
    </row>
    <row r="270" spans="1:13" x14ac:dyDescent="0.3">
      <c r="A270">
        <v>2022</v>
      </c>
      <c r="B270" s="50">
        <v>44894</v>
      </c>
      <c r="C270">
        <v>11</v>
      </c>
      <c r="D270" s="51" t="s">
        <v>32</v>
      </c>
      <c r="E270">
        <v>518</v>
      </c>
      <c r="F270" s="51" t="s">
        <v>35</v>
      </c>
      <c r="G270">
        <v>4</v>
      </c>
      <c r="H270">
        <v>16</v>
      </c>
      <c r="I270" s="51" t="s">
        <v>20</v>
      </c>
      <c r="J270" t="s">
        <v>66</v>
      </c>
      <c r="K270" t="s">
        <v>78</v>
      </c>
      <c r="L270">
        <v>11</v>
      </c>
      <c r="M270" t="s">
        <v>80</v>
      </c>
    </row>
    <row r="271" spans="1:13" x14ac:dyDescent="0.3">
      <c r="A271">
        <v>2022</v>
      </c>
      <c r="B271" s="50">
        <v>44894</v>
      </c>
      <c r="C271">
        <v>11</v>
      </c>
      <c r="D271" s="51" t="s">
        <v>32</v>
      </c>
      <c r="E271">
        <v>524</v>
      </c>
      <c r="F271" s="51" t="s">
        <v>43</v>
      </c>
      <c r="G271">
        <v>3</v>
      </c>
      <c r="H271">
        <v>6</v>
      </c>
      <c r="I271" s="51" t="s">
        <v>20</v>
      </c>
      <c r="J271" t="s">
        <v>66</v>
      </c>
      <c r="K271" t="s">
        <v>78</v>
      </c>
      <c r="L271">
        <v>11</v>
      </c>
      <c r="M271" t="s">
        <v>80</v>
      </c>
    </row>
    <row r="272" spans="1:13" x14ac:dyDescent="0.3">
      <c r="A272">
        <v>2022</v>
      </c>
      <c r="B272" s="50">
        <v>44894</v>
      </c>
      <c r="C272">
        <v>11</v>
      </c>
      <c r="D272" s="51" t="s">
        <v>32</v>
      </c>
      <c r="E272">
        <v>542</v>
      </c>
      <c r="F272" s="51" t="s">
        <v>46</v>
      </c>
      <c r="G272">
        <v>3</v>
      </c>
      <c r="H272">
        <v>30</v>
      </c>
      <c r="I272" s="51" t="s">
        <v>20</v>
      </c>
      <c r="J272" t="s">
        <v>66</v>
      </c>
      <c r="K272" t="s">
        <v>78</v>
      </c>
      <c r="L272">
        <v>11</v>
      </c>
      <c r="M272" t="s">
        <v>80</v>
      </c>
    </row>
    <row r="273" spans="1:13" x14ac:dyDescent="0.3">
      <c r="A273">
        <v>2022</v>
      </c>
      <c r="B273" s="50">
        <v>44900</v>
      </c>
      <c r="C273">
        <v>12</v>
      </c>
      <c r="D273" s="51" t="s">
        <v>33</v>
      </c>
      <c r="E273">
        <v>532</v>
      </c>
      <c r="F273" s="51" t="s">
        <v>49</v>
      </c>
      <c r="G273">
        <v>1</v>
      </c>
      <c r="H273">
        <v>10</v>
      </c>
      <c r="I273" s="51" t="s">
        <v>20</v>
      </c>
      <c r="J273" t="s">
        <v>66</v>
      </c>
      <c r="K273" t="s">
        <v>78</v>
      </c>
      <c r="L273">
        <v>12</v>
      </c>
      <c r="M273" t="s">
        <v>81</v>
      </c>
    </row>
    <row r="274" spans="1:13" x14ac:dyDescent="0.3">
      <c r="A274">
        <v>2022</v>
      </c>
      <c r="B274" s="50">
        <v>44900</v>
      </c>
      <c r="C274">
        <v>12</v>
      </c>
      <c r="D274" s="51" t="s">
        <v>33</v>
      </c>
      <c r="E274">
        <v>544</v>
      </c>
      <c r="F274" s="51" t="s">
        <v>23</v>
      </c>
      <c r="G274">
        <v>3</v>
      </c>
      <c r="H274">
        <v>36</v>
      </c>
      <c r="I274" s="51" t="s">
        <v>20</v>
      </c>
      <c r="J274" t="s">
        <v>66</v>
      </c>
      <c r="K274" t="s">
        <v>78</v>
      </c>
      <c r="L274">
        <v>12</v>
      </c>
      <c r="M274" t="s">
        <v>81</v>
      </c>
    </row>
    <row r="275" spans="1:13" x14ac:dyDescent="0.3">
      <c r="A275">
        <v>2022</v>
      </c>
      <c r="B275" s="50">
        <v>44902</v>
      </c>
      <c r="C275">
        <v>12</v>
      </c>
      <c r="D275" s="51" t="s">
        <v>33</v>
      </c>
      <c r="E275">
        <v>536</v>
      </c>
      <c r="F275" s="51" t="s">
        <v>48</v>
      </c>
      <c r="G275">
        <v>5</v>
      </c>
      <c r="H275">
        <v>25</v>
      </c>
      <c r="I275" s="51" t="s">
        <v>20</v>
      </c>
      <c r="J275" t="s">
        <v>66</v>
      </c>
      <c r="K275" t="s">
        <v>78</v>
      </c>
      <c r="L275">
        <v>12</v>
      </c>
      <c r="M275" t="s">
        <v>81</v>
      </c>
    </row>
    <row r="276" spans="1:13" x14ac:dyDescent="0.3">
      <c r="A276">
        <v>2022</v>
      </c>
      <c r="B276" s="50">
        <v>44902</v>
      </c>
      <c r="C276">
        <v>12</v>
      </c>
      <c r="D276" s="51" t="s">
        <v>33</v>
      </c>
      <c r="E276">
        <v>542</v>
      </c>
      <c r="F276" s="51" t="s">
        <v>46</v>
      </c>
      <c r="G276">
        <v>2</v>
      </c>
      <c r="H276">
        <v>20</v>
      </c>
      <c r="I276" s="51" t="s">
        <v>20</v>
      </c>
      <c r="J276" t="s">
        <v>66</v>
      </c>
      <c r="K276" t="s">
        <v>78</v>
      </c>
      <c r="L276">
        <v>12</v>
      </c>
      <c r="M276" t="s">
        <v>81</v>
      </c>
    </row>
    <row r="277" spans="1:13" x14ac:dyDescent="0.3">
      <c r="A277">
        <v>2022</v>
      </c>
      <c r="B277" s="50">
        <v>44904</v>
      </c>
      <c r="C277">
        <v>12</v>
      </c>
      <c r="D277" s="51" t="s">
        <v>33</v>
      </c>
      <c r="E277">
        <v>514</v>
      </c>
      <c r="F277" s="51" t="s">
        <v>40</v>
      </c>
      <c r="G277">
        <v>9</v>
      </c>
      <c r="H277">
        <v>58.5</v>
      </c>
      <c r="I277" s="51" t="s">
        <v>20</v>
      </c>
      <c r="J277" t="s">
        <v>66</v>
      </c>
      <c r="K277" t="s">
        <v>78</v>
      </c>
      <c r="L277">
        <v>12</v>
      </c>
      <c r="M277" t="s">
        <v>81</v>
      </c>
    </row>
    <row r="278" spans="1:13" x14ac:dyDescent="0.3">
      <c r="A278">
        <v>2022</v>
      </c>
      <c r="B278" s="50">
        <v>44904</v>
      </c>
      <c r="C278">
        <v>12</v>
      </c>
      <c r="D278" s="51" t="s">
        <v>33</v>
      </c>
      <c r="E278">
        <v>548</v>
      </c>
      <c r="F278" s="51" t="s">
        <v>37</v>
      </c>
      <c r="G278">
        <v>10</v>
      </c>
      <c r="H278">
        <v>20</v>
      </c>
      <c r="I278" s="51" t="s">
        <v>20</v>
      </c>
      <c r="J278" t="s">
        <v>66</v>
      </c>
      <c r="K278" t="s">
        <v>78</v>
      </c>
      <c r="L278">
        <v>12</v>
      </c>
      <c r="M278" t="s">
        <v>81</v>
      </c>
    </row>
    <row r="279" spans="1:13" x14ac:dyDescent="0.3">
      <c r="A279">
        <v>2022</v>
      </c>
      <c r="B279" s="50">
        <v>44907</v>
      </c>
      <c r="C279">
        <v>12</v>
      </c>
      <c r="D279" s="51" t="s">
        <v>33</v>
      </c>
      <c r="E279">
        <v>540</v>
      </c>
      <c r="F279" s="51" t="s">
        <v>42</v>
      </c>
      <c r="G279">
        <v>5</v>
      </c>
      <c r="H279">
        <v>37.5</v>
      </c>
      <c r="I279" s="51" t="s">
        <v>20</v>
      </c>
      <c r="J279" t="s">
        <v>66</v>
      </c>
      <c r="K279" t="s">
        <v>78</v>
      </c>
      <c r="L279">
        <v>12</v>
      </c>
      <c r="M279" t="s">
        <v>81</v>
      </c>
    </row>
    <row r="280" spans="1:13" x14ac:dyDescent="0.3">
      <c r="A280">
        <v>2022</v>
      </c>
      <c r="B280" s="50">
        <v>44907</v>
      </c>
      <c r="C280">
        <v>12</v>
      </c>
      <c r="D280" s="51" t="s">
        <v>33</v>
      </c>
      <c r="E280">
        <v>560</v>
      </c>
      <c r="F280" s="51" t="s">
        <v>45</v>
      </c>
      <c r="G280">
        <v>5</v>
      </c>
      <c r="H280">
        <v>40</v>
      </c>
      <c r="I280" s="51" t="s">
        <v>20</v>
      </c>
      <c r="J280" t="s">
        <v>66</v>
      </c>
      <c r="K280" t="s">
        <v>78</v>
      </c>
      <c r="L280">
        <v>12</v>
      </c>
      <c r="M280" t="s">
        <v>81</v>
      </c>
    </row>
    <row r="281" spans="1:13" x14ac:dyDescent="0.3">
      <c r="A281">
        <v>2022</v>
      </c>
      <c r="B281" s="50">
        <v>44909</v>
      </c>
      <c r="C281">
        <v>12</v>
      </c>
      <c r="D281" s="51" t="s">
        <v>33</v>
      </c>
      <c r="E281">
        <v>516</v>
      </c>
      <c r="F281" s="51" t="s">
        <v>39</v>
      </c>
      <c r="G281">
        <v>7</v>
      </c>
      <c r="H281">
        <v>31.5</v>
      </c>
      <c r="I281" s="51" t="s">
        <v>20</v>
      </c>
      <c r="J281" t="s">
        <v>66</v>
      </c>
      <c r="K281" t="s">
        <v>78</v>
      </c>
      <c r="L281">
        <v>12</v>
      </c>
      <c r="M281" t="s">
        <v>81</v>
      </c>
    </row>
    <row r="282" spans="1:13" x14ac:dyDescent="0.3">
      <c r="A282">
        <v>2022</v>
      </c>
      <c r="B282" s="50">
        <v>44909</v>
      </c>
      <c r="C282">
        <v>12</v>
      </c>
      <c r="D282" s="51" t="s">
        <v>33</v>
      </c>
      <c r="E282">
        <v>530</v>
      </c>
      <c r="F282" s="51" t="s">
        <v>41</v>
      </c>
      <c r="G282">
        <v>5</v>
      </c>
      <c r="H282">
        <v>42.5</v>
      </c>
      <c r="I282" s="51" t="s">
        <v>20</v>
      </c>
      <c r="J282" t="s">
        <v>66</v>
      </c>
      <c r="K282" t="s">
        <v>78</v>
      </c>
      <c r="L282">
        <v>12</v>
      </c>
      <c r="M282" t="s">
        <v>81</v>
      </c>
    </row>
    <row r="283" spans="1:13" x14ac:dyDescent="0.3">
      <c r="A283">
        <v>2022</v>
      </c>
      <c r="B283" s="50">
        <v>44911</v>
      </c>
      <c r="C283">
        <v>12</v>
      </c>
      <c r="D283" s="51" t="s">
        <v>33</v>
      </c>
      <c r="E283">
        <v>518</v>
      </c>
      <c r="F283" s="51" t="s">
        <v>35</v>
      </c>
      <c r="G283">
        <v>4</v>
      </c>
      <c r="H283">
        <v>16</v>
      </c>
      <c r="I283" s="51" t="s">
        <v>20</v>
      </c>
      <c r="J283" t="s">
        <v>66</v>
      </c>
      <c r="K283" t="s">
        <v>78</v>
      </c>
      <c r="L283">
        <v>12</v>
      </c>
      <c r="M283" t="s">
        <v>81</v>
      </c>
    </row>
    <row r="284" spans="1:13" x14ac:dyDescent="0.3">
      <c r="A284">
        <v>2022</v>
      </c>
      <c r="B284" s="50">
        <v>44911</v>
      </c>
      <c r="C284">
        <v>12</v>
      </c>
      <c r="D284" s="51" t="s">
        <v>33</v>
      </c>
      <c r="E284">
        <v>524</v>
      </c>
      <c r="F284" s="51" t="s">
        <v>43</v>
      </c>
      <c r="G284">
        <v>3</v>
      </c>
      <c r="H284">
        <v>6</v>
      </c>
      <c r="I284" s="51" t="s">
        <v>20</v>
      </c>
      <c r="J284" t="s">
        <v>66</v>
      </c>
      <c r="K284" t="s">
        <v>78</v>
      </c>
      <c r="L284">
        <v>12</v>
      </c>
      <c r="M284" t="s">
        <v>81</v>
      </c>
    </row>
    <row r="285" spans="1:13" x14ac:dyDescent="0.3">
      <c r="A285">
        <v>2022</v>
      </c>
      <c r="B285" s="50">
        <v>44912</v>
      </c>
      <c r="C285">
        <v>12</v>
      </c>
      <c r="D285" s="51" t="s">
        <v>33</v>
      </c>
      <c r="E285">
        <v>576</v>
      </c>
      <c r="F285" s="51" t="s">
        <v>50</v>
      </c>
      <c r="G285">
        <v>10</v>
      </c>
      <c r="H285">
        <v>125</v>
      </c>
      <c r="I285" s="51" t="s">
        <v>20</v>
      </c>
      <c r="J285" t="s">
        <v>66</v>
      </c>
      <c r="K285" t="s">
        <v>78</v>
      </c>
      <c r="L285">
        <v>12</v>
      </c>
      <c r="M285" t="s">
        <v>81</v>
      </c>
    </row>
    <row r="286" spans="1:13" x14ac:dyDescent="0.3">
      <c r="A286">
        <v>2022</v>
      </c>
      <c r="B286" s="50">
        <v>44912</v>
      </c>
      <c r="C286">
        <v>12</v>
      </c>
      <c r="D286" s="51" t="s">
        <v>33</v>
      </c>
      <c r="E286">
        <v>578</v>
      </c>
      <c r="F286" s="51" t="s">
        <v>47</v>
      </c>
      <c r="G286">
        <v>4</v>
      </c>
      <c r="H286">
        <v>62</v>
      </c>
      <c r="I286" s="51" t="s">
        <v>20</v>
      </c>
      <c r="J286" t="s">
        <v>66</v>
      </c>
      <c r="K286" t="s">
        <v>78</v>
      </c>
      <c r="L286">
        <v>12</v>
      </c>
      <c r="M286" t="s">
        <v>81</v>
      </c>
    </row>
    <row r="287" spans="1:13" x14ac:dyDescent="0.3">
      <c r="A287">
        <v>2022</v>
      </c>
      <c r="B287" s="50">
        <v>44912</v>
      </c>
      <c r="C287">
        <v>12</v>
      </c>
      <c r="D287" s="51" t="s">
        <v>33</v>
      </c>
      <c r="E287">
        <v>580</v>
      </c>
      <c r="F287" s="51" t="s">
        <v>25</v>
      </c>
      <c r="G287">
        <v>6</v>
      </c>
      <c r="H287">
        <v>48</v>
      </c>
      <c r="I287" s="51" t="s">
        <v>20</v>
      </c>
      <c r="J287" t="s">
        <v>66</v>
      </c>
      <c r="K287" t="s">
        <v>78</v>
      </c>
      <c r="L287">
        <v>12</v>
      </c>
      <c r="M287" t="s">
        <v>81</v>
      </c>
    </row>
    <row r="288" spans="1:13" x14ac:dyDescent="0.3">
      <c r="A288">
        <v>2022</v>
      </c>
      <c r="B288" s="50">
        <v>44912</v>
      </c>
      <c r="C288">
        <v>12</v>
      </c>
      <c r="D288" s="51" t="s">
        <v>33</v>
      </c>
      <c r="E288">
        <v>568</v>
      </c>
      <c r="F288" s="51" t="s">
        <v>51</v>
      </c>
      <c r="G288">
        <v>7</v>
      </c>
      <c r="H288">
        <v>73.5</v>
      </c>
      <c r="I288" s="51" t="s">
        <v>20</v>
      </c>
      <c r="J288" t="s">
        <v>66</v>
      </c>
      <c r="K288" t="s">
        <v>78</v>
      </c>
      <c r="L288">
        <v>12</v>
      </c>
      <c r="M288" t="s">
        <v>81</v>
      </c>
    </row>
    <row r="289" spans="1:13" x14ac:dyDescent="0.3">
      <c r="A289">
        <v>2022</v>
      </c>
      <c r="B289" s="50">
        <v>44914</v>
      </c>
      <c r="C289">
        <v>12</v>
      </c>
      <c r="D289" s="51" t="s">
        <v>33</v>
      </c>
      <c r="E289">
        <v>542</v>
      </c>
      <c r="F289" s="51" t="s">
        <v>46</v>
      </c>
      <c r="G289">
        <v>4</v>
      </c>
      <c r="H289">
        <v>40</v>
      </c>
      <c r="I289" s="51" t="s">
        <v>20</v>
      </c>
      <c r="J289" t="s">
        <v>66</v>
      </c>
      <c r="K289" t="s">
        <v>78</v>
      </c>
      <c r="L289">
        <v>12</v>
      </c>
      <c r="M289" t="s">
        <v>81</v>
      </c>
    </row>
    <row r="290" spans="1:13" x14ac:dyDescent="0.3">
      <c r="A290">
        <v>2022</v>
      </c>
      <c r="B290" s="50">
        <v>44916</v>
      </c>
      <c r="C290">
        <v>12</v>
      </c>
      <c r="D290" s="51" t="s">
        <v>33</v>
      </c>
      <c r="E290">
        <v>510</v>
      </c>
      <c r="F290" s="51" t="s">
        <v>38</v>
      </c>
      <c r="G290">
        <v>6</v>
      </c>
      <c r="H290">
        <v>36</v>
      </c>
      <c r="I290" s="51" t="s">
        <v>20</v>
      </c>
      <c r="J290" t="s">
        <v>66</v>
      </c>
      <c r="K290" t="s">
        <v>78</v>
      </c>
      <c r="L290">
        <v>12</v>
      </c>
      <c r="M290" t="s">
        <v>81</v>
      </c>
    </row>
    <row r="291" spans="1:13" x14ac:dyDescent="0.3">
      <c r="A291">
        <v>2022</v>
      </c>
      <c r="B291" s="50">
        <v>44918</v>
      </c>
      <c r="C291">
        <v>12</v>
      </c>
      <c r="D291" s="51" t="s">
        <v>33</v>
      </c>
      <c r="E291">
        <v>562</v>
      </c>
      <c r="F291" s="51" t="s">
        <v>44</v>
      </c>
      <c r="G291">
        <v>5</v>
      </c>
      <c r="H291">
        <v>25</v>
      </c>
      <c r="I291" s="51" t="s">
        <v>20</v>
      </c>
      <c r="J291" t="s">
        <v>66</v>
      </c>
      <c r="K291" t="s">
        <v>78</v>
      </c>
      <c r="L291">
        <v>12</v>
      </c>
      <c r="M291" t="s">
        <v>81</v>
      </c>
    </row>
    <row r="292" spans="1:13" x14ac:dyDescent="0.3">
      <c r="A292">
        <v>2022</v>
      </c>
      <c r="B292" s="50">
        <v>44918</v>
      </c>
      <c r="C292">
        <v>12</v>
      </c>
      <c r="D292" s="51" t="s">
        <v>33</v>
      </c>
      <c r="E292">
        <v>510</v>
      </c>
      <c r="F292" s="51" t="s">
        <v>38</v>
      </c>
      <c r="G292">
        <v>6</v>
      </c>
      <c r="H292">
        <v>36</v>
      </c>
      <c r="I292" s="51" t="s">
        <v>20</v>
      </c>
      <c r="J292" t="s">
        <v>66</v>
      </c>
      <c r="K292" t="s">
        <v>78</v>
      </c>
      <c r="L292">
        <v>12</v>
      </c>
      <c r="M292" t="s">
        <v>81</v>
      </c>
    </row>
    <row r="293" spans="1:13" x14ac:dyDescent="0.3">
      <c r="A293">
        <v>2023</v>
      </c>
      <c r="B293" s="50">
        <v>44936</v>
      </c>
      <c r="C293">
        <v>1</v>
      </c>
      <c r="D293" s="51" t="s">
        <v>34</v>
      </c>
      <c r="E293">
        <v>510</v>
      </c>
      <c r="F293" s="51" t="s">
        <v>38</v>
      </c>
      <c r="G293">
        <v>7</v>
      </c>
      <c r="H293">
        <v>42</v>
      </c>
      <c r="I293" s="51" t="s">
        <v>20</v>
      </c>
      <c r="J293" t="s">
        <v>83</v>
      </c>
      <c r="K293" t="s">
        <v>67</v>
      </c>
      <c r="L293">
        <v>1</v>
      </c>
      <c r="M293" t="s">
        <v>82</v>
      </c>
    </row>
    <row r="294" spans="1:13" x14ac:dyDescent="0.3">
      <c r="A294">
        <v>2023</v>
      </c>
      <c r="B294" s="50">
        <v>44936</v>
      </c>
      <c r="C294">
        <v>1</v>
      </c>
      <c r="D294" s="51" t="s">
        <v>34</v>
      </c>
      <c r="E294">
        <v>514</v>
      </c>
      <c r="F294" s="51" t="s">
        <v>40</v>
      </c>
      <c r="G294">
        <v>6</v>
      </c>
      <c r="H294">
        <v>39</v>
      </c>
      <c r="I294" s="51" t="s">
        <v>20</v>
      </c>
      <c r="J294" t="s">
        <v>83</v>
      </c>
      <c r="K294" t="s">
        <v>67</v>
      </c>
      <c r="L294">
        <v>1</v>
      </c>
      <c r="M294" t="s">
        <v>82</v>
      </c>
    </row>
    <row r="295" spans="1:13" x14ac:dyDescent="0.3">
      <c r="A295">
        <v>2023</v>
      </c>
      <c r="B295" s="50">
        <v>44936</v>
      </c>
      <c r="C295">
        <v>1</v>
      </c>
      <c r="D295" s="51" t="s">
        <v>34</v>
      </c>
      <c r="E295">
        <v>516</v>
      </c>
      <c r="F295" s="51" t="s">
        <v>39</v>
      </c>
      <c r="G295">
        <v>4</v>
      </c>
      <c r="H295">
        <v>18</v>
      </c>
      <c r="I295" s="51" t="s">
        <v>20</v>
      </c>
      <c r="J295" t="s">
        <v>83</v>
      </c>
      <c r="K295" t="s">
        <v>67</v>
      </c>
      <c r="L295">
        <v>1</v>
      </c>
      <c r="M295" t="s">
        <v>82</v>
      </c>
    </row>
    <row r="296" spans="1:13" x14ac:dyDescent="0.3">
      <c r="A296">
        <v>2023</v>
      </c>
      <c r="B296" s="50">
        <v>44936</v>
      </c>
      <c r="C296">
        <v>1</v>
      </c>
      <c r="D296" s="51" t="s">
        <v>34</v>
      </c>
      <c r="E296">
        <v>580</v>
      </c>
      <c r="F296" s="51" t="s">
        <v>25</v>
      </c>
      <c r="G296">
        <v>8</v>
      </c>
      <c r="H296">
        <v>64</v>
      </c>
      <c r="I296" s="51" t="s">
        <v>20</v>
      </c>
      <c r="J296" t="s">
        <v>83</v>
      </c>
      <c r="K296" t="s">
        <v>67</v>
      </c>
      <c r="L296">
        <v>1</v>
      </c>
      <c r="M296" t="s">
        <v>82</v>
      </c>
    </row>
    <row r="297" spans="1:13" x14ac:dyDescent="0.3">
      <c r="A297">
        <v>2023</v>
      </c>
      <c r="B297" s="50">
        <v>44938</v>
      </c>
      <c r="C297">
        <v>1</v>
      </c>
      <c r="D297" s="51" t="s">
        <v>34</v>
      </c>
      <c r="E297">
        <v>580</v>
      </c>
      <c r="F297" s="51" t="s">
        <v>25</v>
      </c>
      <c r="G297">
        <v>7</v>
      </c>
      <c r="H297">
        <v>56</v>
      </c>
      <c r="I297" s="51" t="s">
        <v>20</v>
      </c>
      <c r="J297" t="s">
        <v>83</v>
      </c>
      <c r="K297" t="s">
        <v>67</v>
      </c>
      <c r="L297">
        <v>1</v>
      </c>
      <c r="M297" t="s">
        <v>82</v>
      </c>
    </row>
    <row r="298" spans="1:13" x14ac:dyDescent="0.3">
      <c r="A298">
        <v>2023</v>
      </c>
      <c r="B298" s="50">
        <v>44938</v>
      </c>
      <c r="C298">
        <v>1</v>
      </c>
      <c r="D298" s="51" t="s">
        <v>34</v>
      </c>
      <c r="E298">
        <v>516</v>
      </c>
      <c r="F298" s="51" t="s">
        <v>39</v>
      </c>
      <c r="G298">
        <v>5</v>
      </c>
      <c r="H298">
        <v>22.5</v>
      </c>
      <c r="I298" s="51" t="s">
        <v>20</v>
      </c>
      <c r="J298" t="s">
        <v>83</v>
      </c>
      <c r="K298" t="s">
        <v>67</v>
      </c>
      <c r="L298">
        <v>1</v>
      </c>
      <c r="M298" t="s">
        <v>82</v>
      </c>
    </row>
    <row r="299" spans="1:13" x14ac:dyDescent="0.3">
      <c r="A299">
        <v>2023</v>
      </c>
      <c r="B299" s="50">
        <v>44938</v>
      </c>
      <c r="C299">
        <v>1</v>
      </c>
      <c r="D299" s="51" t="s">
        <v>34</v>
      </c>
      <c r="E299">
        <v>580</v>
      </c>
      <c r="F299" s="51" t="s">
        <v>25</v>
      </c>
      <c r="G299">
        <v>6</v>
      </c>
      <c r="H299">
        <v>48</v>
      </c>
      <c r="I299" s="51" t="s">
        <v>20</v>
      </c>
      <c r="J299" t="s">
        <v>83</v>
      </c>
      <c r="K299" t="s">
        <v>67</v>
      </c>
      <c r="L299">
        <v>1</v>
      </c>
      <c r="M299" t="s">
        <v>82</v>
      </c>
    </row>
    <row r="300" spans="1:13" x14ac:dyDescent="0.3">
      <c r="A300">
        <v>2023</v>
      </c>
      <c r="B300" s="50">
        <v>44940</v>
      </c>
      <c r="C300">
        <v>1</v>
      </c>
      <c r="D300" s="51" t="s">
        <v>34</v>
      </c>
      <c r="E300">
        <v>522</v>
      </c>
      <c r="F300" s="51" t="s">
        <v>21</v>
      </c>
      <c r="G300">
        <v>5</v>
      </c>
      <c r="H300">
        <v>20</v>
      </c>
      <c r="I300" s="51" t="s">
        <v>20</v>
      </c>
      <c r="J300" t="s">
        <v>83</v>
      </c>
      <c r="K300" t="s">
        <v>67</v>
      </c>
      <c r="L300">
        <v>1</v>
      </c>
      <c r="M300" t="s">
        <v>82</v>
      </c>
    </row>
    <row r="301" spans="1:13" x14ac:dyDescent="0.3">
      <c r="A301">
        <v>2023</v>
      </c>
      <c r="B301" s="50">
        <v>44943</v>
      </c>
      <c r="C301">
        <v>1</v>
      </c>
      <c r="D301" s="51" t="s">
        <v>34</v>
      </c>
      <c r="E301">
        <v>524</v>
      </c>
      <c r="F301" s="51" t="s">
        <v>43</v>
      </c>
      <c r="G301">
        <v>3</v>
      </c>
      <c r="H301">
        <v>6</v>
      </c>
      <c r="I301" s="51" t="s">
        <v>20</v>
      </c>
      <c r="J301" t="s">
        <v>83</v>
      </c>
      <c r="K301" t="s">
        <v>67</v>
      </c>
      <c r="L301">
        <v>1</v>
      </c>
      <c r="M301" t="s">
        <v>82</v>
      </c>
    </row>
    <row r="302" spans="1:13" x14ac:dyDescent="0.3">
      <c r="A302">
        <v>2023</v>
      </c>
      <c r="B302" s="50">
        <v>44945</v>
      </c>
      <c r="C302">
        <v>1</v>
      </c>
      <c r="D302" s="51" t="s">
        <v>34</v>
      </c>
      <c r="E302">
        <v>530</v>
      </c>
      <c r="F302" s="51" t="s">
        <v>41</v>
      </c>
      <c r="G302">
        <v>6</v>
      </c>
      <c r="H302">
        <v>51</v>
      </c>
      <c r="I302" s="51" t="s">
        <v>20</v>
      </c>
      <c r="J302" t="s">
        <v>83</v>
      </c>
      <c r="K302" t="s">
        <v>67</v>
      </c>
      <c r="L302">
        <v>1</v>
      </c>
      <c r="M302" t="s">
        <v>82</v>
      </c>
    </row>
    <row r="303" spans="1:13" x14ac:dyDescent="0.3">
      <c r="A303">
        <v>2023</v>
      </c>
      <c r="B303" s="50">
        <v>44947</v>
      </c>
      <c r="C303">
        <v>1</v>
      </c>
      <c r="D303" s="51" t="s">
        <v>34</v>
      </c>
      <c r="E303">
        <v>536</v>
      </c>
      <c r="F303" s="51" t="s">
        <v>48</v>
      </c>
      <c r="G303">
        <v>3</v>
      </c>
      <c r="H303">
        <v>15</v>
      </c>
      <c r="I303" s="51" t="s">
        <v>20</v>
      </c>
      <c r="J303" t="s">
        <v>83</v>
      </c>
      <c r="K303" t="s">
        <v>67</v>
      </c>
      <c r="L303">
        <v>1</v>
      </c>
      <c r="M303" t="s">
        <v>82</v>
      </c>
    </row>
    <row r="304" spans="1:13" x14ac:dyDescent="0.3">
      <c r="A304">
        <v>2023</v>
      </c>
      <c r="B304" s="50">
        <v>44950</v>
      </c>
      <c r="C304">
        <v>1</v>
      </c>
      <c r="D304" s="51" t="s">
        <v>34</v>
      </c>
      <c r="E304">
        <v>540</v>
      </c>
      <c r="F304" s="51" t="s">
        <v>42</v>
      </c>
      <c r="G304">
        <v>7</v>
      </c>
      <c r="H304">
        <v>52.5</v>
      </c>
      <c r="I304" s="51" t="s">
        <v>20</v>
      </c>
      <c r="J304" t="s">
        <v>83</v>
      </c>
      <c r="K304" t="s">
        <v>67</v>
      </c>
      <c r="L304">
        <v>1</v>
      </c>
      <c r="M304" t="s">
        <v>82</v>
      </c>
    </row>
    <row r="305" spans="1:13" x14ac:dyDescent="0.3">
      <c r="A305">
        <v>2023</v>
      </c>
      <c r="B305" s="50">
        <v>44952</v>
      </c>
      <c r="C305">
        <v>1</v>
      </c>
      <c r="D305" s="51" t="s">
        <v>34</v>
      </c>
      <c r="E305">
        <v>580</v>
      </c>
      <c r="F305" s="51" t="s">
        <v>25</v>
      </c>
      <c r="G305">
        <v>8</v>
      </c>
      <c r="H305">
        <v>64</v>
      </c>
      <c r="I305" s="51" t="s">
        <v>20</v>
      </c>
      <c r="J305" t="s">
        <v>83</v>
      </c>
      <c r="K305" t="s">
        <v>67</v>
      </c>
      <c r="L305">
        <v>1</v>
      </c>
      <c r="M305" t="s">
        <v>82</v>
      </c>
    </row>
    <row r="306" spans="1:13" x14ac:dyDescent="0.3">
      <c r="A306">
        <v>2023</v>
      </c>
      <c r="B306" s="50">
        <v>44952</v>
      </c>
      <c r="C306">
        <v>1</v>
      </c>
      <c r="D306" s="51" t="s">
        <v>34</v>
      </c>
      <c r="E306">
        <v>576</v>
      </c>
      <c r="F306" s="51" t="s">
        <v>50</v>
      </c>
      <c r="G306">
        <v>10</v>
      </c>
      <c r="H306">
        <v>125</v>
      </c>
      <c r="I306" s="51" t="s">
        <v>20</v>
      </c>
      <c r="J306" t="s">
        <v>83</v>
      </c>
      <c r="K306" t="s">
        <v>67</v>
      </c>
      <c r="L306">
        <v>1</v>
      </c>
      <c r="M306" t="s">
        <v>82</v>
      </c>
    </row>
    <row r="307" spans="1:13" x14ac:dyDescent="0.3">
      <c r="A307">
        <v>2023</v>
      </c>
      <c r="B307" s="50">
        <v>44952</v>
      </c>
      <c r="C307">
        <v>1</v>
      </c>
      <c r="D307" s="51" t="s">
        <v>34</v>
      </c>
      <c r="E307">
        <v>578</v>
      </c>
      <c r="F307" s="51" t="s">
        <v>47</v>
      </c>
      <c r="G307">
        <v>4</v>
      </c>
      <c r="H307">
        <v>62</v>
      </c>
      <c r="I307" s="51" t="s">
        <v>20</v>
      </c>
      <c r="J307" t="s">
        <v>83</v>
      </c>
      <c r="K307" t="s">
        <v>67</v>
      </c>
      <c r="L307">
        <v>1</v>
      </c>
      <c r="M307" t="s">
        <v>82</v>
      </c>
    </row>
    <row r="308" spans="1:13" x14ac:dyDescent="0.3">
      <c r="A308">
        <v>2023</v>
      </c>
      <c r="B308" s="50">
        <v>44953</v>
      </c>
      <c r="C308">
        <v>1</v>
      </c>
      <c r="D308" s="51" t="s">
        <v>34</v>
      </c>
      <c r="E308">
        <v>580</v>
      </c>
      <c r="F308" s="51" t="s">
        <v>25</v>
      </c>
      <c r="G308">
        <v>7</v>
      </c>
      <c r="H308">
        <v>56</v>
      </c>
      <c r="I308" s="51" t="s">
        <v>20</v>
      </c>
      <c r="J308" t="s">
        <v>83</v>
      </c>
      <c r="K308" t="s">
        <v>67</v>
      </c>
      <c r="L308">
        <v>1</v>
      </c>
      <c r="M308" t="s">
        <v>82</v>
      </c>
    </row>
    <row r="309" spans="1:13" x14ac:dyDescent="0.3">
      <c r="A309">
        <v>2023</v>
      </c>
      <c r="B309" s="50">
        <v>44953</v>
      </c>
      <c r="C309">
        <v>1</v>
      </c>
      <c r="D309" s="51" t="s">
        <v>34</v>
      </c>
      <c r="E309">
        <v>568</v>
      </c>
      <c r="F309" s="51" t="s">
        <v>51</v>
      </c>
      <c r="G309">
        <v>7</v>
      </c>
      <c r="H309">
        <v>73.5</v>
      </c>
      <c r="I309" s="51" t="s">
        <v>20</v>
      </c>
      <c r="J309" t="s">
        <v>83</v>
      </c>
      <c r="K309" t="s">
        <v>67</v>
      </c>
      <c r="L309">
        <v>1</v>
      </c>
      <c r="M309" t="s">
        <v>82</v>
      </c>
    </row>
    <row r="310" spans="1:13" x14ac:dyDescent="0.3">
      <c r="A310">
        <v>2023</v>
      </c>
      <c r="B310" s="50">
        <v>44954</v>
      </c>
      <c r="C310">
        <v>1</v>
      </c>
      <c r="D310" s="51" t="s">
        <v>34</v>
      </c>
      <c r="E310">
        <v>580</v>
      </c>
      <c r="F310" s="51" t="s">
        <v>25</v>
      </c>
      <c r="G310">
        <v>9</v>
      </c>
      <c r="H310">
        <v>72</v>
      </c>
      <c r="I310" s="51" t="s">
        <v>20</v>
      </c>
      <c r="J310" t="s">
        <v>83</v>
      </c>
      <c r="K310" t="s">
        <v>67</v>
      </c>
      <c r="L310">
        <v>1</v>
      </c>
      <c r="M310" t="s">
        <v>82</v>
      </c>
    </row>
    <row r="311" spans="1:13" x14ac:dyDescent="0.3">
      <c r="A311">
        <v>2023</v>
      </c>
      <c r="B311" s="50">
        <v>44954</v>
      </c>
      <c r="C311">
        <v>1</v>
      </c>
      <c r="D311" s="51" t="s">
        <v>34</v>
      </c>
      <c r="E311">
        <v>580</v>
      </c>
      <c r="F311" s="51" t="s">
        <v>25</v>
      </c>
      <c r="G311">
        <v>9</v>
      </c>
      <c r="H311">
        <v>72</v>
      </c>
      <c r="I311" s="51" t="s">
        <v>20</v>
      </c>
      <c r="J311" t="s">
        <v>83</v>
      </c>
      <c r="K311" t="s">
        <v>67</v>
      </c>
      <c r="L311">
        <v>1</v>
      </c>
      <c r="M311" t="s">
        <v>82</v>
      </c>
    </row>
    <row r="312" spans="1:13" x14ac:dyDescent="0.3">
      <c r="A312">
        <v>2023</v>
      </c>
      <c r="B312" s="50">
        <v>44955</v>
      </c>
      <c r="C312">
        <v>1</v>
      </c>
      <c r="D312" s="51" t="s">
        <v>34</v>
      </c>
      <c r="E312">
        <v>576</v>
      </c>
      <c r="F312" s="51" t="s">
        <v>50</v>
      </c>
      <c r="G312">
        <v>10</v>
      </c>
      <c r="H312">
        <v>125</v>
      </c>
      <c r="I312" s="51" t="s">
        <v>20</v>
      </c>
      <c r="J312" t="s">
        <v>83</v>
      </c>
      <c r="K312" t="s">
        <v>67</v>
      </c>
      <c r="L312">
        <v>1</v>
      </c>
      <c r="M312" t="s">
        <v>82</v>
      </c>
    </row>
    <row r="313" spans="1:13" x14ac:dyDescent="0.3">
      <c r="A313">
        <v>2023</v>
      </c>
      <c r="B313" s="50">
        <v>44955</v>
      </c>
      <c r="C313">
        <v>1</v>
      </c>
      <c r="D313" s="51" t="s">
        <v>34</v>
      </c>
      <c r="E313">
        <v>542</v>
      </c>
      <c r="F313" s="51" t="s">
        <v>46</v>
      </c>
      <c r="G313">
        <v>3</v>
      </c>
      <c r="H313">
        <v>30</v>
      </c>
      <c r="I313" s="51" t="s">
        <v>20</v>
      </c>
      <c r="J313" t="s">
        <v>83</v>
      </c>
      <c r="K313" t="s">
        <v>67</v>
      </c>
      <c r="L313">
        <v>1</v>
      </c>
      <c r="M313" t="s">
        <v>82</v>
      </c>
    </row>
    <row r="314" spans="1:13" x14ac:dyDescent="0.3">
      <c r="A314">
        <v>2023</v>
      </c>
      <c r="B314" s="50">
        <v>44955</v>
      </c>
      <c r="C314">
        <v>1</v>
      </c>
      <c r="D314" s="51" t="s">
        <v>34</v>
      </c>
      <c r="E314">
        <v>548</v>
      </c>
      <c r="F314" s="51" t="s">
        <v>37</v>
      </c>
      <c r="G314">
        <v>5</v>
      </c>
      <c r="H314">
        <v>10</v>
      </c>
      <c r="I314" s="51" t="s">
        <v>20</v>
      </c>
      <c r="J314" t="s">
        <v>83</v>
      </c>
      <c r="K314" t="s">
        <v>67</v>
      </c>
      <c r="L314">
        <v>1</v>
      </c>
      <c r="M314" t="s">
        <v>82</v>
      </c>
    </row>
    <row r="315" spans="1:13" x14ac:dyDescent="0.3">
      <c r="A315">
        <v>2023</v>
      </c>
      <c r="B315" s="50">
        <v>44955</v>
      </c>
      <c r="C315">
        <v>1</v>
      </c>
      <c r="D315" s="51" t="s">
        <v>34</v>
      </c>
      <c r="E315">
        <v>560</v>
      </c>
      <c r="F315" s="51" t="s">
        <v>45</v>
      </c>
      <c r="G315">
        <v>10</v>
      </c>
      <c r="H315">
        <v>80</v>
      </c>
      <c r="I315" s="51" t="s">
        <v>20</v>
      </c>
      <c r="J315" t="s">
        <v>83</v>
      </c>
      <c r="K315" t="s">
        <v>67</v>
      </c>
      <c r="L315">
        <v>1</v>
      </c>
      <c r="M315" t="s">
        <v>82</v>
      </c>
    </row>
    <row r="316" spans="1:13" x14ac:dyDescent="0.3">
      <c r="A316">
        <v>2023</v>
      </c>
      <c r="B316" s="50">
        <v>44955</v>
      </c>
      <c r="C316">
        <v>1</v>
      </c>
      <c r="D316" s="51" t="s">
        <v>34</v>
      </c>
      <c r="E316">
        <v>572</v>
      </c>
      <c r="F316" s="51" t="s">
        <v>52</v>
      </c>
      <c r="G316">
        <v>6</v>
      </c>
      <c r="H316">
        <v>36</v>
      </c>
      <c r="I316" s="51" t="s">
        <v>20</v>
      </c>
      <c r="J316" t="s">
        <v>83</v>
      </c>
      <c r="K316" t="s">
        <v>67</v>
      </c>
      <c r="L316">
        <v>1</v>
      </c>
      <c r="M316" t="s">
        <v>82</v>
      </c>
    </row>
    <row r="317" spans="1:13" x14ac:dyDescent="0.3">
      <c r="A317">
        <v>2023</v>
      </c>
      <c r="B317" s="50">
        <v>44955</v>
      </c>
      <c r="C317">
        <v>1</v>
      </c>
      <c r="D317" s="51" t="s">
        <v>34</v>
      </c>
      <c r="E317">
        <v>574</v>
      </c>
      <c r="F317" s="51" t="s">
        <v>53</v>
      </c>
      <c r="G317">
        <v>5</v>
      </c>
      <c r="H317">
        <v>27.5</v>
      </c>
      <c r="I317" s="51" t="s">
        <v>20</v>
      </c>
      <c r="J317" t="s">
        <v>83</v>
      </c>
      <c r="K317" t="s">
        <v>67</v>
      </c>
      <c r="L317">
        <v>1</v>
      </c>
      <c r="M317" t="s">
        <v>82</v>
      </c>
    </row>
    <row r="318" spans="1:13" x14ac:dyDescent="0.3">
      <c r="A318">
        <v>2023</v>
      </c>
      <c r="B318" s="50">
        <v>44964</v>
      </c>
      <c r="C318">
        <v>2</v>
      </c>
      <c r="D318" s="51" t="s">
        <v>18</v>
      </c>
      <c r="E318">
        <v>542</v>
      </c>
      <c r="F318" s="51" t="s">
        <v>46</v>
      </c>
      <c r="G318">
        <v>1</v>
      </c>
      <c r="H318">
        <v>10</v>
      </c>
      <c r="I318" s="51" t="s">
        <v>20</v>
      </c>
      <c r="J318" t="s">
        <v>83</v>
      </c>
      <c r="K318" t="s">
        <v>67</v>
      </c>
      <c r="L318">
        <v>2</v>
      </c>
      <c r="M318" t="s">
        <v>68</v>
      </c>
    </row>
    <row r="319" spans="1:13" x14ac:dyDescent="0.3">
      <c r="A319">
        <v>2023</v>
      </c>
      <c r="B319" s="50">
        <v>44965</v>
      </c>
      <c r="C319">
        <v>2</v>
      </c>
      <c r="D319" s="51" t="s">
        <v>18</v>
      </c>
      <c r="E319">
        <v>548</v>
      </c>
      <c r="F319" s="51" t="s">
        <v>37</v>
      </c>
      <c r="G319">
        <v>5</v>
      </c>
      <c r="H319">
        <v>10</v>
      </c>
      <c r="I319" s="51" t="s">
        <v>20</v>
      </c>
      <c r="J319" t="s">
        <v>83</v>
      </c>
      <c r="K319" t="s">
        <v>67</v>
      </c>
      <c r="L319">
        <v>2</v>
      </c>
      <c r="M319" t="s">
        <v>68</v>
      </c>
    </row>
    <row r="320" spans="1:13" x14ac:dyDescent="0.3">
      <c r="A320">
        <v>2023</v>
      </c>
      <c r="B320" s="50">
        <v>44966</v>
      </c>
      <c r="C320">
        <v>2</v>
      </c>
      <c r="D320" s="51" t="s">
        <v>18</v>
      </c>
      <c r="E320">
        <v>560</v>
      </c>
      <c r="F320" s="51" t="s">
        <v>45</v>
      </c>
      <c r="G320">
        <v>2</v>
      </c>
      <c r="H320">
        <v>16</v>
      </c>
      <c r="I320" s="51" t="s">
        <v>20</v>
      </c>
      <c r="J320" t="s">
        <v>83</v>
      </c>
      <c r="K320" t="s">
        <v>67</v>
      </c>
      <c r="L320">
        <v>2</v>
      </c>
      <c r="M320" t="s">
        <v>68</v>
      </c>
    </row>
    <row r="321" spans="1:13" x14ac:dyDescent="0.3">
      <c r="A321">
        <v>2023</v>
      </c>
      <c r="B321" s="50">
        <v>44967</v>
      </c>
      <c r="C321">
        <v>2</v>
      </c>
      <c r="D321" s="51" t="s">
        <v>18</v>
      </c>
      <c r="E321">
        <v>566</v>
      </c>
      <c r="F321" s="51" t="s">
        <v>54</v>
      </c>
      <c r="G321">
        <v>2</v>
      </c>
      <c r="H321">
        <v>17</v>
      </c>
      <c r="I321" s="51" t="s">
        <v>20</v>
      </c>
      <c r="J321" t="s">
        <v>83</v>
      </c>
      <c r="K321" t="s">
        <v>67</v>
      </c>
      <c r="L321">
        <v>2</v>
      </c>
      <c r="M321" t="s">
        <v>68</v>
      </c>
    </row>
    <row r="322" spans="1:13" x14ac:dyDescent="0.3">
      <c r="A322">
        <v>2023</v>
      </c>
      <c r="B322" s="50">
        <v>44968</v>
      </c>
      <c r="C322">
        <v>2</v>
      </c>
      <c r="D322" s="51" t="s">
        <v>18</v>
      </c>
      <c r="E322">
        <v>576</v>
      </c>
      <c r="F322" s="51" t="s">
        <v>50</v>
      </c>
      <c r="G322">
        <v>10</v>
      </c>
      <c r="H322">
        <v>125</v>
      </c>
      <c r="I322" s="51" t="s">
        <v>20</v>
      </c>
      <c r="J322" t="s">
        <v>83</v>
      </c>
      <c r="K322" t="s">
        <v>67</v>
      </c>
      <c r="L322">
        <v>2</v>
      </c>
      <c r="M322" t="s">
        <v>68</v>
      </c>
    </row>
    <row r="323" spans="1:13" x14ac:dyDescent="0.3">
      <c r="A323">
        <v>2023</v>
      </c>
      <c r="B323" s="50">
        <v>44968</v>
      </c>
      <c r="C323">
        <v>2</v>
      </c>
      <c r="D323" s="51" t="s">
        <v>18</v>
      </c>
      <c r="E323">
        <v>578</v>
      </c>
      <c r="F323" s="51" t="s">
        <v>47</v>
      </c>
      <c r="G323">
        <v>4</v>
      </c>
      <c r="H323">
        <v>62</v>
      </c>
      <c r="I323" s="51" t="s">
        <v>20</v>
      </c>
      <c r="J323" t="s">
        <v>83</v>
      </c>
      <c r="K323" t="s">
        <v>67</v>
      </c>
      <c r="L323">
        <v>2</v>
      </c>
      <c r="M323" t="s">
        <v>68</v>
      </c>
    </row>
    <row r="324" spans="1:13" x14ac:dyDescent="0.3">
      <c r="A324">
        <v>2023</v>
      </c>
      <c r="B324" s="50">
        <v>44968</v>
      </c>
      <c r="C324">
        <v>2</v>
      </c>
      <c r="D324" s="51" t="s">
        <v>18</v>
      </c>
      <c r="E324">
        <v>580</v>
      </c>
      <c r="F324" s="51" t="s">
        <v>25</v>
      </c>
      <c r="G324">
        <v>9</v>
      </c>
      <c r="H324">
        <v>72</v>
      </c>
      <c r="I324" s="51" t="s">
        <v>20</v>
      </c>
      <c r="J324" t="s">
        <v>83</v>
      </c>
      <c r="K324" t="s">
        <v>67</v>
      </c>
      <c r="L324">
        <v>2</v>
      </c>
      <c r="M324" t="s">
        <v>68</v>
      </c>
    </row>
    <row r="325" spans="1:13" x14ac:dyDescent="0.3">
      <c r="A325">
        <v>2023</v>
      </c>
      <c r="B325" s="50">
        <v>44968</v>
      </c>
      <c r="C325">
        <v>2</v>
      </c>
      <c r="D325" s="51" t="s">
        <v>18</v>
      </c>
      <c r="E325">
        <v>568</v>
      </c>
      <c r="F325" s="51" t="s">
        <v>51</v>
      </c>
      <c r="G325">
        <v>7</v>
      </c>
      <c r="H325">
        <v>73.5</v>
      </c>
      <c r="I325" s="51" t="s">
        <v>20</v>
      </c>
      <c r="J325" t="s">
        <v>83</v>
      </c>
      <c r="K325" t="s">
        <v>67</v>
      </c>
      <c r="L325">
        <v>2</v>
      </c>
      <c r="M325" t="s">
        <v>68</v>
      </c>
    </row>
    <row r="326" spans="1:13" x14ac:dyDescent="0.3">
      <c r="A326">
        <v>2023</v>
      </c>
      <c r="B326" s="50">
        <v>44969</v>
      </c>
      <c r="C326">
        <v>2</v>
      </c>
      <c r="D326" s="51" t="s">
        <v>18</v>
      </c>
      <c r="E326">
        <v>576</v>
      </c>
      <c r="F326" s="51" t="s">
        <v>50</v>
      </c>
      <c r="G326">
        <v>10</v>
      </c>
      <c r="H326">
        <v>125</v>
      </c>
      <c r="I326" s="51" t="s">
        <v>20</v>
      </c>
      <c r="J326" t="s">
        <v>83</v>
      </c>
      <c r="K326" t="s">
        <v>67</v>
      </c>
      <c r="L326">
        <v>2</v>
      </c>
      <c r="M326" t="s">
        <v>68</v>
      </c>
    </row>
    <row r="327" spans="1:13" x14ac:dyDescent="0.3">
      <c r="A327">
        <v>2023</v>
      </c>
      <c r="B327" s="50">
        <v>44969</v>
      </c>
      <c r="C327">
        <v>2</v>
      </c>
      <c r="D327" s="51" t="s">
        <v>18</v>
      </c>
      <c r="E327">
        <v>578</v>
      </c>
      <c r="F327" s="51" t="s">
        <v>47</v>
      </c>
      <c r="G327">
        <v>10</v>
      </c>
      <c r="H327">
        <v>155</v>
      </c>
      <c r="I327" s="51" t="s">
        <v>20</v>
      </c>
      <c r="J327" t="s">
        <v>83</v>
      </c>
      <c r="K327" t="s">
        <v>67</v>
      </c>
      <c r="L327">
        <v>2</v>
      </c>
      <c r="M327" t="s">
        <v>68</v>
      </c>
    </row>
    <row r="328" spans="1:13" x14ac:dyDescent="0.3">
      <c r="A328">
        <v>2023</v>
      </c>
      <c r="B328" s="50">
        <v>44969</v>
      </c>
      <c r="C328">
        <v>2</v>
      </c>
      <c r="D328" s="51" t="s">
        <v>18</v>
      </c>
      <c r="E328">
        <v>580</v>
      </c>
      <c r="F328" s="51" t="s">
        <v>25</v>
      </c>
      <c r="G328">
        <v>6</v>
      </c>
      <c r="H328">
        <v>48</v>
      </c>
      <c r="I328" s="51" t="s">
        <v>20</v>
      </c>
      <c r="J328" t="s">
        <v>83</v>
      </c>
      <c r="K328" t="s">
        <v>67</v>
      </c>
      <c r="L328">
        <v>2</v>
      </c>
      <c r="M328" t="s">
        <v>68</v>
      </c>
    </row>
    <row r="329" spans="1:13" x14ac:dyDescent="0.3">
      <c r="A329">
        <v>2023</v>
      </c>
      <c r="B329" s="50">
        <v>44969</v>
      </c>
      <c r="C329">
        <v>2</v>
      </c>
      <c r="D329" s="51" t="s">
        <v>18</v>
      </c>
      <c r="E329">
        <v>568</v>
      </c>
      <c r="F329" s="51" t="s">
        <v>51</v>
      </c>
      <c r="G329">
        <v>7</v>
      </c>
      <c r="H329">
        <v>73.5</v>
      </c>
      <c r="I329" s="51" t="s">
        <v>20</v>
      </c>
      <c r="J329" t="s">
        <v>83</v>
      </c>
      <c r="K329" t="s">
        <v>67</v>
      </c>
      <c r="L329">
        <v>2</v>
      </c>
      <c r="M329" t="s">
        <v>68</v>
      </c>
    </row>
    <row r="330" spans="1:13" x14ac:dyDescent="0.3">
      <c r="A330">
        <v>2023</v>
      </c>
      <c r="B330" s="50">
        <v>44978</v>
      </c>
      <c r="C330">
        <v>2</v>
      </c>
      <c r="D330" s="51" t="s">
        <v>18</v>
      </c>
      <c r="E330">
        <v>568</v>
      </c>
      <c r="F330" s="51" t="s">
        <v>51</v>
      </c>
      <c r="G330">
        <v>3</v>
      </c>
      <c r="H330">
        <v>31.5</v>
      </c>
      <c r="I330" s="51" t="s">
        <v>20</v>
      </c>
      <c r="J330" t="s">
        <v>83</v>
      </c>
      <c r="K330" t="s">
        <v>67</v>
      </c>
      <c r="L330">
        <v>2</v>
      </c>
      <c r="M330" t="s">
        <v>68</v>
      </c>
    </row>
    <row r="331" spans="1:13" x14ac:dyDescent="0.3">
      <c r="A331">
        <v>2023</v>
      </c>
      <c r="B331" s="50">
        <v>44980</v>
      </c>
      <c r="C331">
        <v>2</v>
      </c>
      <c r="D331" s="51" t="s">
        <v>18</v>
      </c>
      <c r="E331">
        <v>570</v>
      </c>
      <c r="F331" s="51" t="s">
        <v>55</v>
      </c>
      <c r="G331">
        <v>3</v>
      </c>
      <c r="H331">
        <v>15</v>
      </c>
      <c r="I331" s="51" t="s">
        <v>20</v>
      </c>
      <c r="J331" t="s">
        <v>83</v>
      </c>
      <c r="K331" t="s">
        <v>67</v>
      </c>
      <c r="L331">
        <v>2</v>
      </c>
      <c r="M331" t="s">
        <v>68</v>
      </c>
    </row>
    <row r="332" spans="1:13" x14ac:dyDescent="0.3">
      <c r="A332">
        <v>2023</v>
      </c>
      <c r="B332" s="50">
        <v>44981</v>
      </c>
      <c r="C332">
        <v>2</v>
      </c>
      <c r="D332" s="51" t="s">
        <v>18</v>
      </c>
      <c r="E332">
        <v>572</v>
      </c>
      <c r="F332" s="51" t="s">
        <v>52</v>
      </c>
      <c r="G332">
        <v>5</v>
      </c>
      <c r="H332">
        <v>30</v>
      </c>
      <c r="I332" s="51" t="s">
        <v>20</v>
      </c>
      <c r="J332" t="s">
        <v>83</v>
      </c>
      <c r="K332" t="s">
        <v>67</v>
      </c>
      <c r="L332">
        <v>2</v>
      </c>
      <c r="M332" t="s">
        <v>68</v>
      </c>
    </row>
    <row r="333" spans="1:13" x14ac:dyDescent="0.3">
      <c r="A333">
        <v>2023</v>
      </c>
      <c r="B333" s="50">
        <v>44982</v>
      </c>
      <c r="C333">
        <v>2</v>
      </c>
      <c r="D333" s="51" t="s">
        <v>18</v>
      </c>
      <c r="E333">
        <v>574</v>
      </c>
      <c r="F333" s="51" t="s">
        <v>53</v>
      </c>
      <c r="G333">
        <v>5</v>
      </c>
      <c r="H333">
        <v>27.5</v>
      </c>
      <c r="I333" s="51" t="s">
        <v>20</v>
      </c>
      <c r="J333" t="s">
        <v>83</v>
      </c>
      <c r="K333" t="s">
        <v>67</v>
      </c>
      <c r="L333">
        <v>2</v>
      </c>
      <c r="M333" t="s">
        <v>68</v>
      </c>
    </row>
    <row r="334" spans="1:13" x14ac:dyDescent="0.3">
      <c r="A334">
        <v>2023</v>
      </c>
      <c r="B334" s="50">
        <v>44984</v>
      </c>
      <c r="C334">
        <v>2</v>
      </c>
      <c r="D334" s="51" t="s">
        <v>18</v>
      </c>
      <c r="E334">
        <v>580</v>
      </c>
      <c r="F334" s="51" t="s">
        <v>25</v>
      </c>
      <c r="G334">
        <v>8</v>
      </c>
      <c r="H334">
        <v>64</v>
      </c>
      <c r="I334" s="51" t="s">
        <v>20</v>
      </c>
      <c r="J334" t="s">
        <v>83</v>
      </c>
      <c r="K334" t="s">
        <v>67</v>
      </c>
      <c r="L334">
        <v>2</v>
      </c>
      <c r="M334" t="s">
        <v>68</v>
      </c>
    </row>
    <row r="335" spans="1:13" x14ac:dyDescent="0.3">
      <c r="A335">
        <v>2023</v>
      </c>
      <c r="B335" s="50">
        <v>44984</v>
      </c>
      <c r="C335">
        <v>2</v>
      </c>
      <c r="D335" s="51" t="s">
        <v>18</v>
      </c>
      <c r="E335">
        <v>518</v>
      </c>
      <c r="F335" s="51" t="s">
        <v>35</v>
      </c>
      <c r="G335">
        <v>3</v>
      </c>
      <c r="H335">
        <v>12</v>
      </c>
      <c r="I335" s="51" t="s">
        <v>20</v>
      </c>
      <c r="J335" t="s">
        <v>83</v>
      </c>
      <c r="K335" t="s">
        <v>67</v>
      </c>
      <c r="L335">
        <v>2</v>
      </c>
      <c r="M335" t="s">
        <v>68</v>
      </c>
    </row>
    <row r="336" spans="1:13" x14ac:dyDescent="0.3">
      <c r="A336">
        <v>2023</v>
      </c>
      <c r="B336" s="50">
        <v>44985</v>
      </c>
      <c r="C336">
        <v>2</v>
      </c>
      <c r="D336" s="51" t="s">
        <v>18</v>
      </c>
      <c r="E336">
        <v>580</v>
      </c>
      <c r="F336" s="51" t="s">
        <v>25</v>
      </c>
      <c r="G336">
        <v>9</v>
      </c>
      <c r="H336">
        <v>72</v>
      </c>
      <c r="I336" s="51" t="s">
        <v>20</v>
      </c>
      <c r="J336" t="s">
        <v>83</v>
      </c>
      <c r="K336" t="s">
        <v>67</v>
      </c>
      <c r="L336">
        <v>2</v>
      </c>
      <c r="M336" t="s">
        <v>68</v>
      </c>
    </row>
    <row r="337" spans="1:13" x14ac:dyDescent="0.3">
      <c r="A337">
        <v>2023</v>
      </c>
      <c r="B337" s="50">
        <v>44985</v>
      </c>
      <c r="C337">
        <v>2</v>
      </c>
      <c r="D337" s="51" t="s">
        <v>18</v>
      </c>
      <c r="E337">
        <v>520</v>
      </c>
      <c r="F337" s="51" t="s">
        <v>19</v>
      </c>
      <c r="G337">
        <v>5</v>
      </c>
      <c r="H337">
        <v>20</v>
      </c>
      <c r="I337" s="51" t="s">
        <v>20</v>
      </c>
      <c r="J337" t="s">
        <v>83</v>
      </c>
      <c r="K337" t="s">
        <v>67</v>
      </c>
      <c r="L337">
        <v>2</v>
      </c>
      <c r="M337" t="s">
        <v>68</v>
      </c>
    </row>
    <row r="338" spans="1:13" x14ac:dyDescent="0.3">
      <c r="A338">
        <v>2023</v>
      </c>
      <c r="B338" s="50">
        <v>44985</v>
      </c>
      <c r="C338">
        <v>2</v>
      </c>
      <c r="D338" s="51" t="s">
        <v>18</v>
      </c>
      <c r="E338">
        <v>530</v>
      </c>
      <c r="F338" s="51" t="s">
        <v>41</v>
      </c>
      <c r="G338">
        <v>7</v>
      </c>
      <c r="H338">
        <v>59.5</v>
      </c>
      <c r="I338" s="51" t="s">
        <v>20</v>
      </c>
      <c r="J338" t="s">
        <v>83</v>
      </c>
      <c r="K338" t="s">
        <v>67</v>
      </c>
      <c r="L338">
        <v>2</v>
      </c>
      <c r="M338" t="s">
        <v>68</v>
      </c>
    </row>
    <row r="339" spans="1:13" x14ac:dyDescent="0.3">
      <c r="A339">
        <v>2023</v>
      </c>
      <c r="B339" s="50">
        <v>44985</v>
      </c>
      <c r="C339">
        <v>2</v>
      </c>
      <c r="D339" s="51" t="s">
        <v>18</v>
      </c>
      <c r="E339">
        <v>540</v>
      </c>
      <c r="F339" s="51" t="s">
        <v>42</v>
      </c>
      <c r="G339">
        <v>10</v>
      </c>
      <c r="H339">
        <v>75</v>
      </c>
      <c r="I339" s="51" t="s">
        <v>20</v>
      </c>
      <c r="J339" t="s">
        <v>83</v>
      </c>
      <c r="K339" t="s">
        <v>67</v>
      </c>
      <c r="L339">
        <v>2</v>
      </c>
      <c r="M339" t="s">
        <v>68</v>
      </c>
    </row>
    <row r="340" spans="1:13" x14ac:dyDescent="0.3">
      <c r="A340">
        <v>2023</v>
      </c>
      <c r="B340" s="50">
        <v>44985</v>
      </c>
      <c r="C340">
        <v>2</v>
      </c>
      <c r="D340" s="51" t="s">
        <v>18</v>
      </c>
      <c r="E340">
        <v>542</v>
      </c>
      <c r="F340" s="51" t="s">
        <v>46</v>
      </c>
      <c r="G340">
        <v>3</v>
      </c>
      <c r="H340">
        <v>30</v>
      </c>
      <c r="I340" s="51" t="s">
        <v>20</v>
      </c>
      <c r="J340" t="s">
        <v>83</v>
      </c>
      <c r="K340" t="s">
        <v>67</v>
      </c>
      <c r="L340">
        <v>2</v>
      </c>
      <c r="M340" t="s">
        <v>68</v>
      </c>
    </row>
    <row r="341" spans="1:13" x14ac:dyDescent="0.3">
      <c r="A341">
        <v>2023</v>
      </c>
      <c r="B341" s="50">
        <v>44985</v>
      </c>
      <c r="C341">
        <v>2</v>
      </c>
      <c r="D341" s="51" t="s">
        <v>18</v>
      </c>
      <c r="E341">
        <v>548</v>
      </c>
      <c r="F341" s="51" t="s">
        <v>37</v>
      </c>
      <c r="G341">
        <v>5</v>
      </c>
      <c r="H341">
        <v>10</v>
      </c>
      <c r="I341" s="51" t="s">
        <v>20</v>
      </c>
      <c r="J341" t="s">
        <v>83</v>
      </c>
      <c r="K341" t="s">
        <v>67</v>
      </c>
      <c r="L341">
        <v>2</v>
      </c>
      <c r="M341" t="s">
        <v>68</v>
      </c>
    </row>
    <row r="342" spans="1:13" x14ac:dyDescent="0.3">
      <c r="A342">
        <v>2023</v>
      </c>
      <c r="B342" s="50">
        <v>44992</v>
      </c>
      <c r="C342">
        <v>3</v>
      </c>
      <c r="D342" s="51" t="s">
        <v>22</v>
      </c>
      <c r="E342">
        <v>576</v>
      </c>
      <c r="F342" s="51" t="s">
        <v>50</v>
      </c>
      <c r="G342">
        <v>4</v>
      </c>
      <c r="H342">
        <v>50</v>
      </c>
      <c r="I342" s="51" t="s">
        <v>20</v>
      </c>
      <c r="J342" t="s">
        <v>83</v>
      </c>
      <c r="K342" t="s">
        <v>67</v>
      </c>
      <c r="L342">
        <v>3</v>
      </c>
      <c r="M342" t="s">
        <v>69</v>
      </c>
    </row>
    <row r="343" spans="1:13" x14ac:dyDescent="0.3">
      <c r="A343">
        <v>2023</v>
      </c>
      <c r="B343" s="50">
        <v>44993</v>
      </c>
      <c r="C343">
        <v>3</v>
      </c>
      <c r="D343" s="51" t="s">
        <v>22</v>
      </c>
      <c r="E343">
        <v>578</v>
      </c>
      <c r="F343" s="51" t="s">
        <v>47</v>
      </c>
      <c r="G343">
        <v>4</v>
      </c>
      <c r="H343">
        <v>62</v>
      </c>
      <c r="I343" s="51" t="s">
        <v>20</v>
      </c>
      <c r="J343" t="s">
        <v>83</v>
      </c>
      <c r="K343" t="s">
        <v>67</v>
      </c>
      <c r="L343">
        <v>3</v>
      </c>
      <c r="M343" t="s">
        <v>69</v>
      </c>
    </row>
    <row r="344" spans="1:13" x14ac:dyDescent="0.3">
      <c r="A344">
        <v>2023</v>
      </c>
      <c r="B344" s="50">
        <v>44999</v>
      </c>
      <c r="C344">
        <v>3</v>
      </c>
      <c r="D344" s="51" t="s">
        <v>22</v>
      </c>
      <c r="E344">
        <v>580</v>
      </c>
      <c r="F344" s="51" t="s">
        <v>25</v>
      </c>
      <c r="G344">
        <v>5</v>
      </c>
      <c r="H344">
        <v>40</v>
      </c>
      <c r="I344" s="51" t="s">
        <v>20</v>
      </c>
      <c r="J344" t="s">
        <v>83</v>
      </c>
      <c r="K344" t="s">
        <v>67</v>
      </c>
      <c r="L344">
        <v>3</v>
      </c>
      <c r="M344" t="s">
        <v>69</v>
      </c>
    </row>
    <row r="345" spans="1:13" x14ac:dyDescent="0.3">
      <c r="A345">
        <v>2023</v>
      </c>
      <c r="B345" s="50">
        <v>45000</v>
      </c>
      <c r="C345">
        <v>3</v>
      </c>
      <c r="D345" s="51" t="s">
        <v>22</v>
      </c>
      <c r="E345">
        <v>510</v>
      </c>
      <c r="F345" s="51" t="s">
        <v>38</v>
      </c>
      <c r="G345">
        <v>5</v>
      </c>
      <c r="H345">
        <v>30</v>
      </c>
      <c r="I345" s="51" t="s">
        <v>20</v>
      </c>
      <c r="J345" t="s">
        <v>83</v>
      </c>
      <c r="K345" t="s">
        <v>67</v>
      </c>
      <c r="L345">
        <v>3</v>
      </c>
      <c r="M345" t="s">
        <v>69</v>
      </c>
    </row>
    <row r="346" spans="1:13" x14ac:dyDescent="0.3">
      <c r="A346">
        <v>2023</v>
      </c>
      <c r="B346" s="50">
        <v>45000</v>
      </c>
      <c r="C346">
        <v>3</v>
      </c>
      <c r="D346" s="51" t="s">
        <v>22</v>
      </c>
      <c r="E346">
        <v>580</v>
      </c>
      <c r="F346" s="51" t="s">
        <v>25</v>
      </c>
      <c r="G346">
        <v>9</v>
      </c>
      <c r="H346">
        <v>72</v>
      </c>
      <c r="I346" s="51" t="s">
        <v>20</v>
      </c>
      <c r="J346" t="s">
        <v>83</v>
      </c>
      <c r="K346" t="s">
        <v>67</v>
      </c>
      <c r="L346">
        <v>3</v>
      </c>
      <c r="M346" t="s">
        <v>69</v>
      </c>
    </row>
    <row r="347" spans="1:13" x14ac:dyDescent="0.3">
      <c r="A347">
        <v>2023</v>
      </c>
      <c r="B347" s="50">
        <v>45001</v>
      </c>
      <c r="C347">
        <v>3</v>
      </c>
      <c r="D347" s="51" t="s">
        <v>22</v>
      </c>
      <c r="E347">
        <v>514</v>
      </c>
      <c r="F347" s="51" t="s">
        <v>40</v>
      </c>
      <c r="G347">
        <v>7</v>
      </c>
      <c r="H347">
        <v>45.5</v>
      </c>
      <c r="I347" s="51" t="s">
        <v>20</v>
      </c>
      <c r="J347" t="s">
        <v>83</v>
      </c>
      <c r="K347" t="s">
        <v>67</v>
      </c>
      <c r="L347">
        <v>3</v>
      </c>
      <c r="M347" t="s">
        <v>69</v>
      </c>
    </row>
    <row r="348" spans="1:13" x14ac:dyDescent="0.3">
      <c r="A348">
        <v>2023</v>
      </c>
      <c r="B348" s="50">
        <v>45001</v>
      </c>
      <c r="C348">
        <v>3</v>
      </c>
      <c r="D348" s="51" t="s">
        <v>22</v>
      </c>
      <c r="E348">
        <v>580</v>
      </c>
      <c r="F348" s="51" t="s">
        <v>25</v>
      </c>
      <c r="G348">
        <v>8</v>
      </c>
      <c r="H348">
        <v>64</v>
      </c>
      <c r="I348" s="51" t="s">
        <v>20</v>
      </c>
      <c r="J348" t="s">
        <v>83</v>
      </c>
      <c r="K348" t="s">
        <v>67</v>
      </c>
      <c r="L348">
        <v>3</v>
      </c>
      <c r="M348" t="s">
        <v>69</v>
      </c>
    </row>
    <row r="349" spans="1:13" x14ac:dyDescent="0.3">
      <c r="A349">
        <v>2023</v>
      </c>
      <c r="B349" s="50">
        <v>45002</v>
      </c>
      <c r="C349">
        <v>3</v>
      </c>
      <c r="D349" s="51" t="s">
        <v>22</v>
      </c>
      <c r="E349">
        <v>516</v>
      </c>
      <c r="F349" s="51" t="s">
        <v>39</v>
      </c>
      <c r="G349">
        <v>5</v>
      </c>
      <c r="H349">
        <v>22.5</v>
      </c>
      <c r="I349" s="51" t="s">
        <v>20</v>
      </c>
      <c r="J349" t="s">
        <v>83</v>
      </c>
      <c r="K349" t="s">
        <v>67</v>
      </c>
      <c r="L349">
        <v>3</v>
      </c>
      <c r="M349" t="s">
        <v>69</v>
      </c>
    </row>
    <row r="350" spans="1:13" x14ac:dyDescent="0.3">
      <c r="A350">
        <v>2023</v>
      </c>
      <c r="B350" s="50">
        <v>45002</v>
      </c>
      <c r="C350">
        <v>3</v>
      </c>
      <c r="D350" s="51" t="s">
        <v>22</v>
      </c>
      <c r="E350">
        <v>580</v>
      </c>
      <c r="F350" s="51" t="s">
        <v>25</v>
      </c>
      <c r="G350">
        <v>9</v>
      </c>
      <c r="H350">
        <v>72</v>
      </c>
      <c r="I350" s="51" t="s">
        <v>20</v>
      </c>
      <c r="J350" t="s">
        <v>83</v>
      </c>
      <c r="K350" t="s">
        <v>67</v>
      </c>
      <c r="L350">
        <v>3</v>
      </c>
      <c r="M350" t="s">
        <v>69</v>
      </c>
    </row>
    <row r="351" spans="1:13" x14ac:dyDescent="0.3">
      <c r="A351">
        <v>2023</v>
      </c>
      <c r="B351" s="50">
        <v>45003</v>
      </c>
      <c r="C351">
        <v>3</v>
      </c>
      <c r="D351" s="51" t="s">
        <v>22</v>
      </c>
      <c r="E351">
        <v>518</v>
      </c>
      <c r="F351" s="51" t="s">
        <v>35</v>
      </c>
      <c r="G351">
        <v>3</v>
      </c>
      <c r="H351">
        <v>12</v>
      </c>
      <c r="I351" s="51" t="s">
        <v>20</v>
      </c>
      <c r="J351" t="s">
        <v>83</v>
      </c>
      <c r="K351" t="s">
        <v>67</v>
      </c>
      <c r="L351">
        <v>3</v>
      </c>
      <c r="M351" t="s">
        <v>69</v>
      </c>
    </row>
    <row r="352" spans="1:13" x14ac:dyDescent="0.3">
      <c r="A352">
        <v>2023</v>
      </c>
      <c r="B352" s="50">
        <v>45003</v>
      </c>
      <c r="C352">
        <v>3</v>
      </c>
      <c r="D352" s="51" t="s">
        <v>22</v>
      </c>
      <c r="E352">
        <v>580</v>
      </c>
      <c r="F352" s="51" t="s">
        <v>25</v>
      </c>
      <c r="G352">
        <v>7</v>
      </c>
      <c r="H352">
        <v>56</v>
      </c>
      <c r="I352" s="51" t="s">
        <v>20</v>
      </c>
      <c r="J352" t="s">
        <v>83</v>
      </c>
      <c r="K352" t="s">
        <v>67</v>
      </c>
      <c r="L352">
        <v>3</v>
      </c>
      <c r="M352" t="s">
        <v>69</v>
      </c>
    </row>
    <row r="353" spans="1:13" x14ac:dyDescent="0.3">
      <c r="A353">
        <v>2023</v>
      </c>
      <c r="B353" s="50">
        <v>45004</v>
      </c>
      <c r="C353">
        <v>3</v>
      </c>
      <c r="D353" s="51" t="s">
        <v>22</v>
      </c>
      <c r="E353">
        <v>520</v>
      </c>
      <c r="F353" s="51" t="s">
        <v>19</v>
      </c>
      <c r="G353">
        <v>5</v>
      </c>
      <c r="H353">
        <v>20</v>
      </c>
      <c r="I353" s="51" t="s">
        <v>20</v>
      </c>
      <c r="J353" t="s">
        <v>83</v>
      </c>
      <c r="K353" t="s">
        <v>67</v>
      </c>
      <c r="L353">
        <v>3</v>
      </c>
      <c r="M353" t="s">
        <v>69</v>
      </c>
    </row>
    <row r="354" spans="1:13" x14ac:dyDescent="0.3">
      <c r="A354">
        <v>2023</v>
      </c>
      <c r="B354" s="50">
        <v>45005</v>
      </c>
      <c r="C354">
        <v>3</v>
      </c>
      <c r="D354" s="51" t="s">
        <v>22</v>
      </c>
      <c r="E354">
        <v>530</v>
      </c>
      <c r="F354" s="51" t="s">
        <v>41</v>
      </c>
      <c r="G354">
        <v>7</v>
      </c>
      <c r="H354">
        <v>59.5</v>
      </c>
      <c r="I354" s="51" t="s">
        <v>20</v>
      </c>
      <c r="J354" t="s">
        <v>83</v>
      </c>
      <c r="K354" t="s">
        <v>67</v>
      </c>
      <c r="L354">
        <v>3</v>
      </c>
      <c r="M354" t="s">
        <v>69</v>
      </c>
    </row>
    <row r="355" spans="1:13" x14ac:dyDescent="0.3">
      <c r="A355">
        <v>2023</v>
      </c>
      <c r="B355" s="50">
        <v>45005</v>
      </c>
      <c r="C355">
        <v>3</v>
      </c>
      <c r="D355" s="51" t="s">
        <v>22</v>
      </c>
      <c r="E355">
        <v>540</v>
      </c>
      <c r="F355" s="51" t="s">
        <v>42</v>
      </c>
      <c r="G355">
        <v>10</v>
      </c>
      <c r="H355">
        <v>75</v>
      </c>
      <c r="I355" s="51" t="s">
        <v>20</v>
      </c>
      <c r="J355" t="s">
        <v>83</v>
      </c>
      <c r="K355" t="s">
        <v>67</v>
      </c>
      <c r="L355">
        <v>3</v>
      </c>
      <c r="M355" t="s">
        <v>69</v>
      </c>
    </row>
    <row r="356" spans="1:13" x14ac:dyDescent="0.3">
      <c r="A356">
        <v>2023</v>
      </c>
      <c r="B356" s="50">
        <v>45005</v>
      </c>
      <c r="C356">
        <v>3</v>
      </c>
      <c r="D356" s="51" t="s">
        <v>22</v>
      </c>
      <c r="E356">
        <v>542</v>
      </c>
      <c r="F356" s="51" t="s">
        <v>46</v>
      </c>
      <c r="G356">
        <v>2</v>
      </c>
      <c r="H356">
        <v>20</v>
      </c>
      <c r="I356" s="51" t="s">
        <v>20</v>
      </c>
      <c r="J356" t="s">
        <v>83</v>
      </c>
      <c r="K356" t="s">
        <v>67</v>
      </c>
      <c r="L356">
        <v>3</v>
      </c>
      <c r="M356" t="s">
        <v>69</v>
      </c>
    </row>
    <row r="357" spans="1:13" x14ac:dyDescent="0.3">
      <c r="A357">
        <v>2023</v>
      </c>
      <c r="B357" s="50">
        <v>45005</v>
      </c>
      <c r="C357">
        <v>3</v>
      </c>
      <c r="D357" s="51" t="s">
        <v>22</v>
      </c>
      <c r="E357">
        <v>548</v>
      </c>
      <c r="F357" s="51" t="s">
        <v>37</v>
      </c>
      <c r="G357">
        <v>5</v>
      </c>
      <c r="H357">
        <v>10</v>
      </c>
      <c r="I357" s="51" t="s">
        <v>20</v>
      </c>
      <c r="J357" t="s">
        <v>83</v>
      </c>
      <c r="K357" t="s">
        <v>67</v>
      </c>
      <c r="L357">
        <v>3</v>
      </c>
      <c r="M357" t="s">
        <v>69</v>
      </c>
    </row>
    <row r="358" spans="1:13" x14ac:dyDescent="0.3">
      <c r="A358">
        <v>2023</v>
      </c>
      <c r="B358" s="50">
        <v>45005</v>
      </c>
      <c r="C358">
        <v>3</v>
      </c>
      <c r="D358" s="51" t="s">
        <v>22</v>
      </c>
      <c r="E358">
        <v>560</v>
      </c>
      <c r="F358" s="51" t="s">
        <v>45</v>
      </c>
      <c r="G358">
        <v>10</v>
      </c>
      <c r="H358">
        <v>80</v>
      </c>
      <c r="I358" s="51" t="s">
        <v>20</v>
      </c>
      <c r="J358" t="s">
        <v>83</v>
      </c>
      <c r="K358" t="s">
        <v>67</v>
      </c>
      <c r="L358">
        <v>3</v>
      </c>
      <c r="M358" t="s">
        <v>69</v>
      </c>
    </row>
    <row r="359" spans="1:13" x14ac:dyDescent="0.3">
      <c r="A359">
        <v>2023</v>
      </c>
      <c r="B359" s="50">
        <v>45005</v>
      </c>
      <c r="C359">
        <v>3</v>
      </c>
      <c r="D359" s="51" t="s">
        <v>22</v>
      </c>
      <c r="E359">
        <v>572</v>
      </c>
      <c r="F359" s="51" t="s">
        <v>52</v>
      </c>
      <c r="G359">
        <v>6</v>
      </c>
      <c r="H359">
        <v>36</v>
      </c>
      <c r="I359" s="51" t="s">
        <v>20</v>
      </c>
      <c r="J359" t="s">
        <v>83</v>
      </c>
      <c r="K359" t="s">
        <v>67</v>
      </c>
      <c r="L359">
        <v>3</v>
      </c>
      <c r="M359" t="s">
        <v>69</v>
      </c>
    </row>
    <row r="360" spans="1:13" x14ac:dyDescent="0.3">
      <c r="A360">
        <v>2023</v>
      </c>
      <c r="B360" s="50">
        <v>45005</v>
      </c>
      <c r="C360">
        <v>3</v>
      </c>
      <c r="D360" s="51" t="s">
        <v>22</v>
      </c>
      <c r="E360">
        <v>574</v>
      </c>
      <c r="F360" s="51" t="s">
        <v>53</v>
      </c>
      <c r="G360">
        <v>5</v>
      </c>
      <c r="H360">
        <v>27.5</v>
      </c>
      <c r="I360" s="51" t="s">
        <v>20</v>
      </c>
      <c r="J360" t="s">
        <v>83</v>
      </c>
      <c r="K360" t="s">
        <v>67</v>
      </c>
      <c r="L360">
        <v>3</v>
      </c>
      <c r="M360" t="s">
        <v>69</v>
      </c>
    </row>
    <row r="361" spans="1:13" x14ac:dyDescent="0.3">
      <c r="A361">
        <v>2023</v>
      </c>
      <c r="B361" s="50">
        <v>45006</v>
      </c>
      <c r="C361">
        <v>3</v>
      </c>
      <c r="D361" s="51" t="s">
        <v>22</v>
      </c>
      <c r="E361">
        <v>568</v>
      </c>
      <c r="F361" s="51" t="s">
        <v>51</v>
      </c>
      <c r="G361">
        <v>7</v>
      </c>
      <c r="H361">
        <v>73.5</v>
      </c>
      <c r="I361" s="51" t="s">
        <v>20</v>
      </c>
      <c r="J361" t="s">
        <v>83</v>
      </c>
      <c r="K361" t="s">
        <v>67</v>
      </c>
      <c r="L361">
        <v>3</v>
      </c>
      <c r="M361" t="s">
        <v>69</v>
      </c>
    </row>
    <row r="362" spans="1:13" x14ac:dyDescent="0.3">
      <c r="A362">
        <v>2023</v>
      </c>
      <c r="B362" s="50">
        <v>45007</v>
      </c>
      <c r="C362">
        <v>3</v>
      </c>
      <c r="D362" s="51" t="s">
        <v>22</v>
      </c>
      <c r="E362">
        <v>580</v>
      </c>
      <c r="F362" s="51" t="s">
        <v>25</v>
      </c>
      <c r="G362">
        <v>8</v>
      </c>
      <c r="H362">
        <v>64</v>
      </c>
      <c r="I362" s="51" t="s">
        <v>20</v>
      </c>
      <c r="J362" t="s">
        <v>83</v>
      </c>
      <c r="K362" t="s">
        <v>67</v>
      </c>
      <c r="L362">
        <v>3</v>
      </c>
      <c r="M362" t="s">
        <v>69</v>
      </c>
    </row>
    <row r="363" spans="1:13" x14ac:dyDescent="0.3">
      <c r="A363">
        <v>2023</v>
      </c>
      <c r="B363" s="50">
        <v>45007</v>
      </c>
      <c r="C363">
        <v>3</v>
      </c>
      <c r="D363" s="51" t="s">
        <v>22</v>
      </c>
      <c r="E363">
        <v>580</v>
      </c>
      <c r="F363" s="51" t="s">
        <v>25</v>
      </c>
      <c r="G363">
        <v>8</v>
      </c>
      <c r="H363">
        <v>64</v>
      </c>
      <c r="I363" s="51" t="s">
        <v>20</v>
      </c>
      <c r="J363" t="s">
        <v>83</v>
      </c>
      <c r="K363" t="s">
        <v>67</v>
      </c>
      <c r="L363">
        <v>3</v>
      </c>
      <c r="M363" t="s">
        <v>69</v>
      </c>
    </row>
    <row r="364" spans="1:13" x14ac:dyDescent="0.3">
      <c r="A364">
        <v>2023</v>
      </c>
      <c r="B364" s="50">
        <v>45007</v>
      </c>
      <c r="C364">
        <v>3</v>
      </c>
      <c r="D364" s="51" t="s">
        <v>22</v>
      </c>
      <c r="E364">
        <v>576</v>
      </c>
      <c r="F364" s="51" t="s">
        <v>50</v>
      </c>
      <c r="G364">
        <v>10</v>
      </c>
      <c r="H364">
        <v>125</v>
      </c>
      <c r="I364" s="51" t="s">
        <v>20</v>
      </c>
      <c r="J364" t="s">
        <v>83</v>
      </c>
      <c r="K364" t="s">
        <v>67</v>
      </c>
      <c r="L364">
        <v>3</v>
      </c>
      <c r="M364" t="s">
        <v>69</v>
      </c>
    </row>
    <row r="365" spans="1:13" x14ac:dyDescent="0.3">
      <c r="A365">
        <v>2022</v>
      </c>
      <c r="B365" s="50">
        <v>44564</v>
      </c>
      <c r="C365">
        <v>1</v>
      </c>
      <c r="D365" s="51" t="s">
        <v>34</v>
      </c>
      <c r="E365">
        <v>510</v>
      </c>
      <c r="F365" s="51" t="s">
        <v>38</v>
      </c>
      <c r="G365">
        <v>8</v>
      </c>
      <c r="H365">
        <v>48</v>
      </c>
      <c r="I365" s="51" t="s">
        <v>36</v>
      </c>
      <c r="J365" t="s">
        <v>66</v>
      </c>
      <c r="K365" t="s">
        <v>67</v>
      </c>
      <c r="L365">
        <v>1</v>
      </c>
      <c r="M365" t="s">
        <v>82</v>
      </c>
    </row>
    <row r="366" spans="1:13" x14ac:dyDescent="0.3">
      <c r="A366">
        <v>2022</v>
      </c>
      <c r="B366" s="50">
        <v>44565</v>
      </c>
      <c r="C366">
        <v>1</v>
      </c>
      <c r="D366" s="51" t="s">
        <v>34</v>
      </c>
      <c r="E366">
        <v>510</v>
      </c>
      <c r="F366" s="51" t="s">
        <v>38</v>
      </c>
      <c r="G366">
        <v>9</v>
      </c>
      <c r="H366">
        <v>54</v>
      </c>
      <c r="I366" s="51" t="s">
        <v>36</v>
      </c>
      <c r="J366" t="s">
        <v>66</v>
      </c>
      <c r="K366" t="s">
        <v>67</v>
      </c>
      <c r="L366">
        <v>1</v>
      </c>
      <c r="M366" t="s">
        <v>82</v>
      </c>
    </row>
    <row r="367" spans="1:13" x14ac:dyDescent="0.3">
      <c r="A367">
        <v>2022</v>
      </c>
      <c r="B367" s="50">
        <v>44566</v>
      </c>
      <c r="C367">
        <v>1</v>
      </c>
      <c r="D367" s="51" t="s">
        <v>34</v>
      </c>
      <c r="E367">
        <v>510</v>
      </c>
      <c r="F367" s="51" t="s">
        <v>38</v>
      </c>
      <c r="G367">
        <v>3</v>
      </c>
      <c r="H367">
        <v>18</v>
      </c>
      <c r="I367" s="51" t="s">
        <v>36</v>
      </c>
      <c r="J367" t="s">
        <v>66</v>
      </c>
      <c r="K367" t="s">
        <v>67</v>
      </c>
      <c r="L367">
        <v>1</v>
      </c>
      <c r="M367" t="s">
        <v>82</v>
      </c>
    </row>
    <row r="368" spans="1:13" x14ac:dyDescent="0.3">
      <c r="A368">
        <v>2022</v>
      </c>
      <c r="B368" s="50">
        <v>44573</v>
      </c>
      <c r="C368">
        <v>1</v>
      </c>
      <c r="D368" s="51" t="s">
        <v>34</v>
      </c>
      <c r="E368">
        <v>510</v>
      </c>
      <c r="F368" s="51" t="s">
        <v>38</v>
      </c>
      <c r="G368">
        <v>3</v>
      </c>
      <c r="H368">
        <v>18</v>
      </c>
      <c r="I368" s="51" t="s">
        <v>36</v>
      </c>
      <c r="J368" t="s">
        <v>66</v>
      </c>
      <c r="K368" t="s">
        <v>67</v>
      </c>
      <c r="L368">
        <v>1</v>
      </c>
      <c r="M368" t="s">
        <v>82</v>
      </c>
    </row>
    <row r="369" spans="1:13" x14ac:dyDescent="0.3">
      <c r="A369">
        <v>2022</v>
      </c>
      <c r="B369" s="50">
        <v>44573</v>
      </c>
      <c r="C369">
        <v>1</v>
      </c>
      <c r="D369" s="51" t="s">
        <v>34</v>
      </c>
      <c r="E369">
        <v>510</v>
      </c>
      <c r="F369" s="51" t="s">
        <v>38</v>
      </c>
      <c r="G369">
        <v>7</v>
      </c>
      <c r="H369">
        <v>42</v>
      </c>
      <c r="I369" s="51" t="s">
        <v>36</v>
      </c>
      <c r="J369" t="s">
        <v>66</v>
      </c>
      <c r="K369" t="s">
        <v>67</v>
      </c>
      <c r="L369">
        <v>1</v>
      </c>
      <c r="M369" t="s">
        <v>82</v>
      </c>
    </row>
    <row r="370" spans="1:13" x14ac:dyDescent="0.3">
      <c r="A370">
        <v>2022</v>
      </c>
      <c r="B370" s="50">
        <v>44580</v>
      </c>
      <c r="C370">
        <v>1</v>
      </c>
      <c r="D370" s="51" t="s">
        <v>34</v>
      </c>
      <c r="E370">
        <v>510</v>
      </c>
      <c r="F370" s="51" t="s">
        <v>38</v>
      </c>
      <c r="G370">
        <v>3</v>
      </c>
      <c r="H370">
        <v>18</v>
      </c>
      <c r="I370" s="51" t="s">
        <v>36</v>
      </c>
      <c r="J370" t="s">
        <v>66</v>
      </c>
      <c r="K370" t="s">
        <v>67</v>
      </c>
      <c r="L370">
        <v>1</v>
      </c>
      <c r="M370" t="s">
        <v>82</v>
      </c>
    </row>
    <row r="371" spans="1:13" x14ac:dyDescent="0.3">
      <c r="A371">
        <v>2022</v>
      </c>
      <c r="B371" s="50">
        <v>44589</v>
      </c>
      <c r="C371">
        <v>1</v>
      </c>
      <c r="D371" s="51" t="s">
        <v>34</v>
      </c>
      <c r="E371">
        <v>510</v>
      </c>
      <c r="F371" s="51" t="s">
        <v>38</v>
      </c>
      <c r="G371">
        <v>8</v>
      </c>
      <c r="H371">
        <v>48</v>
      </c>
      <c r="I371" s="51" t="s">
        <v>36</v>
      </c>
      <c r="J371" t="s">
        <v>66</v>
      </c>
      <c r="K371" t="s">
        <v>67</v>
      </c>
      <c r="L371">
        <v>1</v>
      </c>
      <c r="M371" t="s">
        <v>82</v>
      </c>
    </row>
    <row r="372" spans="1:13" x14ac:dyDescent="0.3">
      <c r="A372">
        <v>2022</v>
      </c>
      <c r="B372" s="50">
        <v>44592</v>
      </c>
      <c r="C372">
        <v>1</v>
      </c>
      <c r="D372" s="51" t="s">
        <v>34</v>
      </c>
      <c r="E372">
        <v>510</v>
      </c>
      <c r="F372" s="51" t="s">
        <v>38</v>
      </c>
      <c r="G372">
        <v>10</v>
      </c>
      <c r="H372">
        <v>60</v>
      </c>
      <c r="I372" s="51" t="s">
        <v>36</v>
      </c>
      <c r="J372" t="s">
        <v>66</v>
      </c>
      <c r="K372" t="s">
        <v>67</v>
      </c>
      <c r="L372">
        <v>1</v>
      </c>
      <c r="M372" t="s">
        <v>82</v>
      </c>
    </row>
    <row r="373" spans="1:13" x14ac:dyDescent="0.3">
      <c r="A373">
        <v>2022</v>
      </c>
      <c r="B373" s="50">
        <v>44564</v>
      </c>
      <c r="C373">
        <v>1</v>
      </c>
      <c r="D373" s="51" t="s">
        <v>34</v>
      </c>
      <c r="E373">
        <v>516</v>
      </c>
      <c r="F373" s="51" t="s">
        <v>39</v>
      </c>
      <c r="G373">
        <v>5</v>
      </c>
      <c r="H373">
        <v>22.5</v>
      </c>
      <c r="I373" s="51" t="s">
        <v>36</v>
      </c>
      <c r="J373" t="s">
        <v>66</v>
      </c>
      <c r="K373" t="s">
        <v>67</v>
      </c>
      <c r="L373">
        <v>1</v>
      </c>
      <c r="M373" t="s">
        <v>82</v>
      </c>
    </row>
    <row r="374" spans="1:13" x14ac:dyDescent="0.3">
      <c r="A374">
        <v>2022</v>
      </c>
      <c r="B374" s="50">
        <v>44565</v>
      </c>
      <c r="C374">
        <v>1</v>
      </c>
      <c r="D374" s="51" t="s">
        <v>34</v>
      </c>
      <c r="E374">
        <v>514</v>
      </c>
      <c r="F374" s="51" t="s">
        <v>40</v>
      </c>
      <c r="G374">
        <v>11</v>
      </c>
      <c r="H374">
        <v>71.5</v>
      </c>
      <c r="I374" s="51" t="s">
        <v>36</v>
      </c>
      <c r="J374" t="s">
        <v>66</v>
      </c>
      <c r="K374" t="s">
        <v>67</v>
      </c>
      <c r="L374">
        <v>1</v>
      </c>
      <c r="M374" t="s">
        <v>82</v>
      </c>
    </row>
    <row r="375" spans="1:13" x14ac:dyDescent="0.3">
      <c r="A375">
        <v>2022</v>
      </c>
      <c r="B375" s="50">
        <v>44566</v>
      </c>
      <c r="C375">
        <v>1</v>
      </c>
      <c r="D375" s="51" t="s">
        <v>34</v>
      </c>
      <c r="E375">
        <v>548</v>
      </c>
      <c r="F375" s="51" t="s">
        <v>37</v>
      </c>
      <c r="G375">
        <v>4</v>
      </c>
      <c r="H375">
        <v>8</v>
      </c>
      <c r="I375" s="51" t="s">
        <v>36</v>
      </c>
      <c r="J375" t="s">
        <v>66</v>
      </c>
      <c r="K375" t="s">
        <v>67</v>
      </c>
      <c r="L375">
        <v>1</v>
      </c>
      <c r="M375" t="s">
        <v>82</v>
      </c>
    </row>
    <row r="376" spans="1:13" x14ac:dyDescent="0.3">
      <c r="A376">
        <v>2022</v>
      </c>
      <c r="B376" s="50">
        <v>44587</v>
      </c>
      <c r="C376">
        <v>1</v>
      </c>
      <c r="D376" s="51" t="s">
        <v>34</v>
      </c>
      <c r="E376">
        <v>548</v>
      </c>
      <c r="F376" s="51" t="s">
        <v>37</v>
      </c>
      <c r="G376">
        <v>4</v>
      </c>
      <c r="H376">
        <v>8</v>
      </c>
      <c r="I376" s="51" t="s">
        <v>36</v>
      </c>
      <c r="J376" t="s">
        <v>66</v>
      </c>
      <c r="K376" t="s">
        <v>67</v>
      </c>
      <c r="L376">
        <v>1</v>
      </c>
      <c r="M376" t="s">
        <v>82</v>
      </c>
    </row>
    <row r="377" spans="1:13" x14ac:dyDescent="0.3">
      <c r="A377">
        <v>2022</v>
      </c>
      <c r="B377" s="50">
        <v>44567</v>
      </c>
      <c r="C377">
        <v>1</v>
      </c>
      <c r="D377" s="51" t="s">
        <v>34</v>
      </c>
      <c r="E377">
        <v>530</v>
      </c>
      <c r="F377" s="51" t="s">
        <v>41</v>
      </c>
      <c r="G377">
        <v>3</v>
      </c>
      <c r="H377">
        <v>25.5</v>
      </c>
      <c r="I377" s="51" t="s">
        <v>36</v>
      </c>
      <c r="J377" t="s">
        <v>66</v>
      </c>
      <c r="K377" t="s">
        <v>67</v>
      </c>
      <c r="L377">
        <v>1</v>
      </c>
      <c r="M377" t="s">
        <v>82</v>
      </c>
    </row>
    <row r="378" spans="1:13" x14ac:dyDescent="0.3">
      <c r="A378">
        <v>2022</v>
      </c>
      <c r="B378" s="50">
        <v>44582</v>
      </c>
      <c r="C378">
        <v>1</v>
      </c>
      <c r="D378" s="51" t="s">
        <v>34</v>
      </c>
      <c r="E378">
        <v>530</v>
      </c>
      <c r="F378" s="51" t="s">
        <v>41</v>
      </c>
      <c r="G378">
        <v>3</v>
      </c>
      <c r="H378">
        <v>25.5</v>
      </c>
      <c r="I378" s="51" t="s">
        <v>36</v>
      </c>
      <c r="J378" t="s">
        <v>66</v>
      </c>
      <c r="K378" t="s">
        <v>67</v>
      </c>
      <c r="L378">
        <v>1</v>
      </c>
      <c r="M378" t="s">
        <v>82</v>
      </c>
    </row>
    <row r="379" spans="1:13" x14ac:dyDescent="0.3">
      <c r="A379">
        <v>2022</v>
      </c>
      <c r="B379" s="50">
        <v>44567</v>
      </c>
      <c r="C379">
        <v>1</v>
      </c>
      <c r="D379" s="51" t="s">
        <v>34</v>
      </c>
      <c r="E379">
        <v>540</v>
      </c>
      <c r="F379" s="51" t="s">
        <v>42</v>
      </c>
      <c r="G379">
        <v>7</v>
      </c>
      <c r="H379">
        <v>52.5</v>
      </c>
      <c r="I379" s="51" t="s">
        <v>36</v>
      </c>
      <c r="J379" t="s">
        <v>66</v>
      </c>
      <c r="K379" t="s">
        <v>67</v>
      </c>
      <c r="L379">
        <v>1</v>
      </c>
      <c r="M379" t="s">
        <v>82</v>
      </c>
    </row>
    <row r="380" spans="1:13" x14ac:dyDescent="0.3">
      <c r="A380">
        <v>2022</v>
      </c>
      <c r="B380" s="50">
        <v>44582</v>
      </c>
      <c r="C380">
        <v>1</v>
      </c>
      <c r="D380" s="51" t="s">
        <v>34</v>
      </c>
      <c r="E380">
        <v>540</v>
      </c>
      <c r="F380" s="51" t="s">
        <v>42</v>
      </c>
      <c r="G380">
        <v>11</v>
      </c>
      <c r="H380">
        <v>82.5</v>
      </c>
      <c r="I380" s="51" t="s">
        <v>36</v>
      </c>
      <c r="J380" t="s">
        <v>66</v>
      </c>
      <c r="K380" t="s">
        <v>67</v>
      </c>
      <c r="L380">
        <v>1</v>
      </c>
      <c r="M380" t="s">
        <v>82</v>
      </c>
    </row>
    <row r="381" spans="1:13" x14ac:dyDescent="0.3">
      <c r="A381">
        <v>2022</v>
      </c>
      <c r="B381" s="50">
        <v>44568</v>
      </c>
      <c r="C381">
        <v>1</v>
      </c>
      <c r="D381" s="51" t="s">
        <v>34</v>
      </c>
      <c r="E381">
        <v>524</v>
      </c>
      <c r="F381" s="51" t="s">
        <v>43</v>
      </c>
      <c r="G381">
        <v>9</v>
      </c>
      <c r="H381">
        <v>18</v>
      </c>
      <c r="I381" s="51" t="s">
        <v>36</v>
      </c>
      <c r="J381" t="s">
        <v>66</v>
      </c>
      <c r="K381" t="s">
        <v>67</v>
      </c>
      <c r="L381">
        <v>1</v>
      </c>
      <c r="M381" t="s">
        <v>82</v>
      </c>
    </row>
    <row r="382" spans="1:13" x14ac:dyDescent="0.3">
      <c r="A382">
        <v>2022</v>
      </c>
      <c r="B382" s="50">
        <v>44568</v>
      </c>
      <c r="C382">
        <v>1</v>
      </c>
      <c r="D382" s="51" t="s">
        <v>34</v>
      </c>
      <c r="E382">
        <v>562</v>
      </c>
      <c r="F382" s="51" t="s">
        <v>44</v>
      </c>
      <c r="G382">
        <v>3</v>
      </c>
      <c r="H382">
        <v>15</v>
      </c>
      <c r="I382" s="51" t="s">
        <v>36</v>
      </c>
      <c r="J382" t="s">
        <v>66</v>
      </c>
      <c r="K382" t="s">
        <v>67</v>
      </c>
      <c r="L382">
        <v>1</v>
      </c>
      <c r="M382" t="s">
        <v>82</v>
      </c>
    </row>
    <row r="383" spans="1:13" x14ac:dyDescent="0.3">
      <c r="A383">
        <v>2022</v>
      </c>
      <c r="B383" s="50">
        <v>44571</v>
      </c>
      <c r="C383">
        <v>1</v>
      </c>
      <c r="D383" s="51" t="s">
        <v>34</v>
      </c>
      <c r="E383">
        <v>560</v>
      </c>
      <c r="F383" s="51" t="s">
        <v>45</v>
      </c>
      <c r="G383">
        <v>4</v>
      </c>
      <c r="H383">
        <v>32</v>
      </c>
      <c r="I383" s="51" t="s">
        <v>36</v>
      </c>
      <c r="J383" t="s">
        <v>66</v>
      </c>
      <c r="K383" t="s">
        <v>67</v>
      </c>
      <c r="L383">
        <v>1</v>
      </c>
      <c r="M383" t="s">
        <v>82</v>
      </c>
    </row>
    <row r="384" spans="1:13" x14ac:dyDescent="0.3">
      <c r="A384">
        <v>2022</v>
      </c>
      <c r="B384" s="50">
        <v>44575</v>
      </c>
      <c r="C384">
        <v>1</v>
      </c>
      <c r="D384" s="51" t="s">
        <v>34</v>
      </c>
      <c r="E384">
        <v>560</v>
      </c>
      <c r="F384" s="51" t="s">
        <v>45</v>
      </c>
      <c r="G384">
        <v>5</v>
      </c>
      <c r="H384">
        <v>40</v>
      </c>
      <c r="I384" s="51" t="s">
        <v>36</v>
      </c>
      <c r="J384" t="s">
        <v>66</v>
      </c>
      <c r="K384" t="s">
        <v>67</v>
      </c>
      <c r="L384">
        <v>1</v>
      </c>
      <c r="M384" t="s">
        <v>82</v>
      </c>
    </row>
    <row r="385" spans="1:13" x14ac:dyDescent="0.3">
      <c r="A385">
        <v>2022</v>
      </c>
      <c r="B385" s="50">
        <v>44571</v>
      </c>
      <c r="C385">
        <v>1</v>
      </c>
      <c r="D385" s="51" t="s">
        <v>34</v>
      </c>
      <c r="E385">
        <v>542</v>
      </c>
      <c r="F385" s="51" t="s">
        <v>46</v>
      </c>
      <c r="G385">
        <v>2</v>
      </c>
      <c r="H385">
        <v>20</v>
      </c>
      <c r="I385" s="51" t="s">
        <v>36</v>
      </c>
      <c r="J385" t="s">
        <v>66</v>
      </c>
      <c r="K385" t="s">
        <v>67</v>
      </c>
      <c r="L385">
        <v>1</v>
      </c>
      <c r="M385" t="s">
        <v>82</v>
      </c>
    </row>
    <row r="386" spans="1:13" x14ac:dyDescent="0.3">
      <c r="A386">
        <v>2022</v>
      </c>
      <c r="B386" s="50">
        <v>44585</v>
      </c>
      <c r="C386">
        <v>1</v>
      </c>
      <c r="D386" s="51" t="s">
        <v>34</v>
      </c>
      <c r="E386">
        <v>542</v>
      </c>
      <c r="F386" s="51" t="s">
        <v>46</v>
      </c>
      <c r="G386">
        <v>3</v>
      </c>
      <c r="H386">
        <v>30</v>
      </c>
      <c r="I386" s="51" t="s">
        <v>36</v>
      </c>
      <c r="J386" t="s">
        <v>66</v>
      </c>
      <c r="K386" t="s">
        <v>67</v>
      </c>
      <c r="L386">
        <v>1</v>
      </c>
      <c r="M386" t="s">
        <v>82</v>
      </c>
    </row>
    <row r="387" spans="1:13" x14ac:dyDescent="0.3">
      <c r="A387">
        <v>2022</v>
      </c>
      <c r="B387" s="50">
        <v>44592</v>
      </c>
      <c r="C387">
        <v>1</v>
      </c>
      <c r="D387" s="51" t="s">
        <v>34</v>
      </c>
      <c r="E387">
        <v>542</v>
      </c>
      <c r="F387" s="51" t="s">
        <v>46</v>
      </c>
      <c r="G387">
        <v>4</v>
      </c>
      <c r="H387">
        <v>40</v>
      </c>
      <c r="I387" s="51" t="s">
        <v>36</v>
      </c>
      <c r="J387" t="s">
        <v>66</v>
      </c>
      <c r="K387" t="s">
        <v>67</v>
      </c>
      <c r="L387">
        <v>1</v>
      </c>
      <c r="M387" t="s">
        <v>82</v>
      </c>
    </row>
    <row r="388" spans="1:13" x14ac:dyDescent="0.3">
      <c r="A388">
        <v>2022</v>
      </c>
      <c r="B388" s="50">
        <v>44578</v>
      </c>
      <c r="C388">
        <v>1</v>
      </c>
      <c r="D388" s="51" t="s">
        <v>34</v>
      </c>
      <c r="E388">
        <v>578</v>
      </c>
      <c r="F388" s="51" t="s">
        <v>47</v>
      </c>
      <c r="G388">
        <v>4</v>
      </c>
      <c r="H388">
        <v>62</v>
      </c>
      <c r="I388" s="51" t="s">
        <v>36</v>
      </c>
      <c r="J388" t="s">
        <v>66</v>
      </c>
      <c r="K388" t="s">
        <v>67</v>
      </c>
      <c r="L388">
        <v>1</v>
      </c>
      <c r="M388" t="s">
        <v>82</v>
      </c>
    </row>
    <row r="389" spans="1:13" x14ac:dyDescent="0.3">
      <c r="A389">
        <v>2022</v>
      </c>
      <c r="B389" s="50">
        <v>44585</v>
      </c>
      <c r="C389">
        <v>1</v>
      </c>
      <c r="D389" s="51" t="s">
        <v>34</v>
      </c>
      <c r="E389">
        <v>536</v>
      </c>
      <c r="F389" s="51" t="s">
        <v>48</v>
      </c>
      <c r="G389">
        <v>4</v>
      </c>
      <c r="H389">
        <v>20</v>
      </c>
      <c r="I389" s="51" t="s">
        <v>36</v>
      </c>
      <c r="J389" t="s">
        <v>66</v>
      </c>
      <c r="K389" t="s">
        <v>67</v>
      </c>
      <c r="L389">
        <v>1</v>
      </c>
      <c r="M389" t="s">
        <v>82</v>
      </c>
    </row>
    <row r="390" spans="1:13" x14ac:dyDescent="0.3">
      <c r="A390">
        <v>2022</v>
      </c>
      <c r="B390" s="50">
        <v>44587</v>
      </c>
      <c r="C390">
        <v>1</v>
      </c>
      <c r="D390" s="51" t="s">
        <v>34</v>
      </c>
      <c r="E390">
        <v>520</v>
      </c>
      <c r="F390" s="51" t="s">
        <v>19</v>
      </c>
      <c r="G390">
        <v>5</v>
      </c>
      <c r="H390">
        <v>20</v>
      </c>
      <c r="I390" s="51" t="s">
        <v>36</v>
      </c>
      <c r="J390" t="s">
        <v>66</v>
      </c>
      <c r="K390" t="s">
        <v>67</v>
      </c>
      <c r="L390">
        <v>1</v>
      </c>
      <c r="M390" t="s">
        <v>82</v>
      </c>
    </row>
    <row r="391" spans="1:13" x14ac:dyDescent="0.3">
      <c r="A391">
        <v>2022</v>
      </c>
      <c r="B391" s="50">
        <v>44589</v>
      </c>
      <c r="C391">
        <v>1</v>
      </c>
      <c r="D391" s="51" t="s">
        <v>34</v>
      </c>
      <c r="E391">
        <v>522</v>
      </c>
      <c r="F391" s="51" t="s">
        <v>21</v>
      </c>
      <c r="G391">
        <v>7</v>
      </c>
      <c r="H391">
        <v>28</v>
      </c>
      <c r="I391" s="51" t="s">
        <v>36</v>
      </c>
      <c r="J391" t="s">
        <v>66</v>
      </c>
      <c r="K391" t="s">
        <v>67</v>
      </c>
      <c r="L391">
        <v>1</v>
      </c>
      <c r="M391" t="s">
        <v>82</v>
      </c>
    </row>
    <row r="392" spans="1:13" x14ac:dyDescent="0.3">
      <c r="A392">
        <v>2022</v>
      </c>
      <c r="B392" s="50">
        <v>44578</v>
      </c>
      <c r="C392">
        <v>1</v>
      </c>
      <c r="D392" s="51" t="s">
        <v>34</v>
      </c>
      <c r="E392">
        <v>512</v>
      </c>
      <c r="F392" s="51" t="s">
        <v>56</v>
      </c>
      <c r="G392">
        <v>3</v>
      </c>
      <c r="H392">
        <v>9</v>
      </c>
      <c r="I392" s="51" t="s">
        <v>36</v>
      </c>
      <c r="J392" t="s">
        <v>66</v>
      </c>
      <c r="K392" t="s">
        <v>67</v>
      </c>
      <c r="L392">
        <v>1</v>
      </c>
      <c r="M392" t="s">
        <v>82</v>
      </c>
    </row>
    <row r="393" spans="1:13" x14ac:dyDescent="0.3">
      <c r="A393">
        <v>2022</v>
      </c>
      <c r="B393" s="50">
        <v>44599</v>
      </c>
      <c r="C393">
        <v>2</v>
      </c>
      <c r="D393" s="51" t="s">
        <v>18</v>
      </c>
      <c r="E393">
        <v>532</v>
      </c>
      <c r="F393" s="51" t="s">
        <v>49</v>
      </c>
      <c r="G393">
        <v>3</v>
      </c>
      <c r="H393">
        <v>30</v>
      </c>
      <c r="I393" s="51" t="s">
        <v>36</v>
      </c>
      <c r="J393" t="s">
        <v>66</v>
      </c>
      <c r="K393" t="s">
        <v>67</v>
      </c>
      <c r="L393">
        <v>2</v>
      </c>
      <c r="M393" t="s">
        <v>68</v>
      </c>
    </row>
    <row r="394" spans="1:13" x14ac:dyDescent="0.3">
      <c r="A394">
        <v>2022</v>
      </c>
      <c r="B394" s="50">
        <v>44599</v>
      </c>
      <c r="C394">
        <v>2</v>
      </c>
      <c r="D394" s="51" t="s">
        <v>18</v>
      </c>
      <c r="E394">
        <v>544</v>
      </c>
      <c r="F394" s="51" t="s">
        <v>23</v>
      </c>
      <c r="G394">
        <v>7</v>
      </c>
      <c r="H394">
        <v>105</v>
      </c>
      <c r="I394" s="51" t="s">
        <v>36</v>
      </c>
      <c r="J394" t="s">
        <v>66</v>
      </c>
      <c r="K394" t="s">
        <v>67</v>
      </c>
      <c r="L394">
        <v>2</v>
      </c>
      <c r="M394" t="s">
        <v>68</v>
      </c>
    </row>
    <row r="395" spans="1:13" x14ac:dyDescent="0.3">
      <c r="A395">
        <v>2022</v>
      </c>
      <c r="B395" s="50">
        <v>44580</v>
      </c>
      <c r="C395">
        <v>1</v>
      </c>
      <c r="D395" s="51" t="s">
        <v>34</v>
      </c>
      <c r="E395">
        <v>576</v>
      </c>
      <c r="F395" s="51" t="s">
        <v>50</v>
      </c>
      <c r="G395">
        <v>3</v>
      </c>
      <c r="H395">
        <v>37.5</v>
      </c>
      <c r="I395" s="51" t="s">
        <v>36</v>
      </c>
      <c r="J395" t="s">
        <v>66</v>
      </c>
      <c r="K395" t="s">
        <v>67</v>
      </c>
      <c r="L395">
        <v>1</v>
      </c>
      <c r="M395" t="s">
        <v>82</v>
      </c>
    </row>
    <row r="396" spans="1:13" x14ac:dyDescent="0.3">
      <c r="A396">
        <v>2022</v>
      </c>
      <c r="B396" s="50">
        <v>44599</v>
      </c>
      <c r="C396">
        <v>2</v>
      </c>
      <c r="D396" s="51" t="s">
        <v>18</v>
      </c>
      <c r="E396">
        <v>514</v>
      </c>
      <c r="F396" s="51" t="s">
        <v>40</v>
      </c>
      <c r="G396">
        <v>7</v>
      </c>
      <c r="H396">
        <v>45.5</v>
      </c>
      <c r="I396" s="51" t="s">
        <v>36</v>
      </c>
      <c r="J396" t="s">
        <v>66</v>
      </c>
      <c r="K396" t="s">
        <v>67</v>
      </c>
      <c r="L396">
        <v>2</v>
      </c>
      <c r="M396" t="s">
        <v>68</v>
      </c>
    </row>
    <row r="397" spans="1:13" x14ac:dyDescent="0.3">
      <c r="A397">
        <v>2022</v>
      </c>
      <c r="B397" s="50">
        <v>44599</v>
      </c>
      <c r="C397">
        <v>2</v>
      </c>
      <c r="D397" s="51" t="s">
        <v>18</v>
      </c>
      <c r="E397">
        <v>548</v>
      </c>
      <c r="F397" s="51" t="s">
        <v>37</v>
      </c>
      <c r="G397">
        <v>11</v>
      </c>
      <c r="H397">
        <v>22</v>
      </c>
      <c r="I397" s="51" t="s">
        <v>36</v>
      </c>
      <c r="J397" t="s">
        <v>66</v>
      </c>
      <c r="K397" t="s">
        <v>67</v>
      </c>
      <c r="L397">
        <v>2</v>
      </c>
      <c r="M397" t="s">
        <v>68</v>
      </c>
    </row>
    <row r="398" spans="1:13" x14ac:dyDescent="0.3">
      <c r="A398">
        <v>2022</v>
      </c>
      <c r="B398" s="50">
        <v>44600</v>
      </c>
      <c r="C398">
        <v>2</v>
      </c>
      <c r="D398" s="51" t="s">
        <v>18</v>
      </c>
      <c r="E398">
        <v>536</v>
      </c>
      <c r="F398" s="51" t="s">
        <v>48</v>
      </c>
      <c r="G398">
        <v>12</v>
      </c>
      <c r="H398">
        <v>60</v>
      </c>
      <c r="I398" s="51" t="s">
        <v>36</v>
      </c>
      <c r="J398" t="s">
        <v>66</v>
      </c>
      <c r="K398" t="s">
        <v>67</v>
      </c>
      <c r="L398">
        <v>2</v>
      </c>
      <c r="M398" t="s">
        <v>68</v>
      </c>
    </row>
    <row r="399" spans="1:13" x14ac:dyDescent="0.3">
      <c r="A399">
        <v>2022</v>
      </c>
      <c r="B399" s="50">
        <v>44600</v>
      </c>
      <c r="C399">
        <v>2</v>
      </c>
      <c r="D399" s="51" t="s">
        <v>18</v>
      </c>
      <c r="E399">
        <v>542</v>
      </c>
      <c r="F399" s="51" t="s">
        <v>46</v>
      </c>
      <c r="G399">
        <v>4</v>
      </c>
      <c r="H399">
        <v>40</v>
      </c>
      <c r="I399" s="51" t="s">
        <v>36</v>
      </c>
      <c r="J399" t="s">
        <v>66</v>
      </c>
      <c r="K399" t="s">
        <v>67</v>
      </c>
      <c r="L399">
        <v>2</v>
      </c>
      <c r="M399" t="s">
        <v>68</v>
      </c>
    </row>
    <row r="400" spans="1:13" x14ac:dyDescent="0.3">
      <c r="A400">
        <v>2022</v>
      </c>
      <c r="B400" s="50">
        <v>44601</v>
      </c>
      <c r="C400">
        <v>2</v>
      </c>
      <c r="D400" s="51" t="s">
        <v>18</v>
      </c>
      <c r="E400">
        <v>514</v>
      </c>
      <c r="F400" s="51" t="s">
        <v>40</v>
      </c>
      <c r="G400">
        <v>8</v>
      </c>
      <c r="H400">
        <v>52</v>
      </c>
      <c r="I400" s="51" t="s">
        <v>36</v>
      </c>
      <c r="J400" t="s">
        <v>66</v>
      </c>
      <c r="K400" t="s">
        <v>67</v>
      </c>
      <c r="L400">
        <v>2</v>
      </c>
      <c r="M400" t="s">
        <v>68</v>
      </c>
    </row>
    <row r="401" spans="1:13" x14ac:dyDescent="0.3">
      <c r="A401">
        <v>2022</v>
      </c>
      <c r="B401" s="50">
        <v>44602</v>
      </c>
      <c r="C401">
        <v>2</v>
      </c>
      <c r="D401" s="51" t="s">
        <v>18</v>
      </c>
      <c r="E401">
        <v>540</v>
      </c>
      <c r="F401" s="51" t="s">
        <v>42</v>
      </c>
      <c r="G401">
        <v>7</v>
      </c>
      <c r="H401">
        <v>52.5</v>
      </c>
      <c r="I401" s="51" t="s">
        <v>36</v>
      </c>
      <c r="J401" t="s">
        <v>66</v>
      </c>
      <c r="K401" t="s">
        <v>67</v>
      </c>
      <c r="L401">
        <v>2</v>
      </c>
      <c r="M401" t="s">
        <v>68</v>
      </c>
    </row>
    <row r="402" spans="1:13" x14ac:dyDescent="0.3">
      <c r="A402">
        <v>2022</v>
      </c>
      <c r="B402" s="50">
        <v>44602</v>
      </c>
      <c r="C402">
        <v>2</v>
      </c>
      <c r="D402" s="51" t="s">
        <v>18</v>
      </c>
      <c r="E402">
        <v>560</v>
      </c>
      <c r="F402" s="51" t="s">
        <v>45</v>
      </c>
      <c r="G402">
        <v>9</v>
      </c>
      <c r="H402">
        <v>72</v>
      </c>
      <c r="I402" s="51" t="s">
        <v>36</v>
      </c>
      <c r="J402" t="s">
        <v>66</v>
      </c>
      <c r="K402" t="s">
        <v>67</v>
      </c>
      <c r="L402">
        <v>2</v>
      </c>
      <c r="M402" t="s">
        <v>68</v>
      </c>
    </row>
    <row r="403" spans="1:13" x14ac:dyDescent="0.3">
      <c r="A403">
        <v>2022</v>
      </c>
      <c r="B403" s="50">
        <v>44603</v>
      </c>
      <c r="C403">
        <v>2</v>
      </c>
      <c r="D403" s="51" t="s">
        <v>18</v>
      </c>
      <c r="E403">
        <v>516</v>
      </c>
      <c r="F403" s="51" t="s">
        <v>39</v>
      </c>
      <c r="G403">
        <v>7</v>
      </c>
      <c r="H403">
        <v>31.5</v>
      </c>
      <c r="I403" s="51" t="s">
        <v>36</v>
      </c>
      <c r="J403" t="s">
        <v>66</v>
      </c>
      <c r="K403" t="s">
        <v>67</v>
      </c>
      <c r="L403">
        <v>2</v>
      </c>
      <c r="M403" t="s">
        <v>68</v>
      </c>
    </row>
    <row r="404" spans="1:13" x14ac:dyDescent="0.3">
      <c r="A404">
        <v>2022</v>
      </c>
      <c r="B404" s="50">
        <v>44603</v>
      </c>
      <c r="C404">
        <v>2</v>
      </c>
      <c r="D404" s="51" t="s">
        <v>18</v>
      </c>
      <c r="E404">
        <v>530</v>
      </c>
      <c r="F404" s="51" t="s">
        <v>41</v>
      </c>
      <c r="G404">
        <v>4</v>
      </c>
      <c r="H404">
        <v>34</v>
      </c>
      <c r="I404" s="51" t="s">
        <v>36</v>
      </c>
      <c r="J404" t="s">
        <v>66</v>
      </c>
      <c r="K404" t="s">
        <v>67</v>
      </c>
      <c r="L404">
        <v>2</v>
      </c>
      <c r="M404" t="s">
        <v>68</v>
      </c>
    </row>
    <row r="405" spans="1:13" x14ac:dyDescent="0.3">
      <c r="A405">
        <v>2022</v>
      </c>
      <c r="B405" s="50">
        <v>44613</v>
      </c>
      <c r="C405">
        <v>2</v>
      </c>
      <c r="D405" s="51" t="s">
        <v>18</v>
      </c>
      <c r="E405">
        <v>524</v>
      </c>
      <c r="F405" s="51" t="s">
        <v>43</v>
      </c>
      <c r="G405">
        <v>2</v>
      </c>
      <c r="H405">
        <v>4</v>
      </c>
      <c r="I405" s="51" t="s">
        <v>36</v>
      </c>
      <c r="J405" t="s">
        <v>66</v>
      </c>
      <c r="K405" t="s">
        <v>67</v>
      </c>
      <c r="L405">
        <v>2</v>
      </c>
      <c r="M405" t="s">
        <v>68</v>
      </c>
    </row>
    <row r="406" spans="1:13" x14ac:dyDescent="0.3">
      <c r="A406">
        <v>2022</v>
      </c>
      <c r="B406" s="50">
        <v>44615</v>
      </c>
      <c r="C406">
        <v>2</v>
      </c>
      <c r="D406" s="51" t="s">
        <v>18</v>
      </c>
      <c r="E406">
        <v>520</v>
      </c>
      <c r="F406" s="51" t="s">
        <v>19</v>
      </c>
      <c r="G406">
        <v>7</v>
      </c>
      <c r="H406">
        <v>28</v>
      </c>
      <c r="I406" s="51" t="s">
        <v>36</v>
      </c>
      <c r="J406" t="s">
        <v>66</v>
      </c>
      <c r="K406" t="s">
        <v>67</v>
      </c>
      <c r="L406">
        <v>2</v>
      </c>
      <c r="M406" t="s">
        <v>68</v>
      </c>
    </row>
    <row r="407" spans="1:13" x14ac:dyDescent="0.3">
      <c r="A407">
        <v>2022</v>
      </c>
      <c r="B407" s="50">
        <v>44615</v>
      </c>
      <c r="C407">
        <v>2</v>
      </c>
      <c r="D407" s="51" t="s">
        <v>18</v>
      </c>
      <c r="E407">
        <v>542</v>
      </c>
      <c r="F407" s="51" t="s">
        <v>46</v>
      </c>
      <c r="G407">
        <v>5</v>
      </c>
      <c r="H407">
        <v>50</v>
      </c>
      <c r="I407" s="51" t="s">
        <v>36</v>
      </c>
      <c r="J407" t="s">
        <v>66</v>
      </c>
      <c r="K407" t="s">
        <v>67</v>
      </c>
      <c r="L407">
        <v>2</v>
      </c>
      <c r="M407" t="s">
        <v>68</v>
      </c>
    </row>
    <row r="408" spans="1:13" x14ac:dyDescent="0.3">
      <c r="A408">
        <v>2022</v>
      </c>
      <c r="B408" s="50">
        <v>44616</v>
      </c>
      <c r="C408">
        <v>2</v>
      </c>
      <c r="D408" s="51" t="s">
        <v>18</v>
      </c>
      <c r="E408">
        <v>522</v>
      </c>
      <c r="F408" s="51" t="s">
        <v>21</v>
      </c>
      <c r="G408">
        <v>5</v>
      </c>
      <c r="H408">
        <v>20</v>
      </c>
      <c r="I408" s="51" t="s">
        <v>36</v>
      </c>
      <c r="J408" t="s">
        <v>66</v>
      </c>
      <c r="K408" t="s">
        <v>67</v>
      </c>
      <c r="L408">
        <v>2</v>
      </c>
      <c r="M408" t="s">
        <v>68</v>
      </c>
    </row>
    <row r="409" spans="1:13" x14ac:dyDescent="0.3">
      <c r="A409">
        <v>2022</v>
      </c>
      <c r="B409" s="50">
        <v>44616</v>
      </c>
      <c r="C409">
        <v>2</v>
      </c>
      <c r="D409" s="51" t="s">
        <v>18</v>
      </c>
      <c r="E409">
        <v>510</v>
      </c>
      <c r="F409" s="51" t="s">
        <v>38</v>
      </c>
      <c r="G409">
        <v>6</v>
      </c>
      <c r="H409">
        <v>36</v>
      </c>
      <c r="I409" s="51" t="s">
        <v>36</v>
      </c>
      <c r="J409" t="s">
        <v>66</v>
      </c>
      <c r="K409" t="s">
        <v>67</v>
      </c>
      <c r="L409">
        <v>2</v>
      </c>
      <c r="M409" t="s">
        <v>68</v>
      </c>
    </row>
    <row r="410" spans="1:13" x14ac:dyDescent="0.3">
      <c r="A410">
        <v>2022</v>
      </c>
      <c r="B410" s="50">
        <v>44617</v>
      </c>
      <c r="C410">
        <v>2</v>
      </c>
      <c r="D410" s="51" t="s">
        <v>18</v>
      </c>
      <c r="E410">
        <v>562</v>
      </c>
      <c r="F410" s="51" t="s">
        <v>44</v>
      </c>
      <c r="G410">
        <v>7</v>
      </c>
      <c r="H410">
        <v>35</v>
      </c>
      <c r="I410" s="51" t="s">
        <v>36</v>
      </c>
      <c r="J410" t="s">
        <v>66</v>
      </c>
      <c r="K410" t="s">
        <v>67</v>
      </c>
      <c r="L410">
        <v>2</v>
      </c>
      <c r="M410" t="s">
        <v>68</v>
      </c>
    </row>
    <row r="411" spans="1:13" x14ac:dyDescent="0.3">
      <c r="A411">
        <v>2022</v>
      </c>
      <c r="B411" s="50">
        <v>44617</v>
      </c>
      <c r="C411">
        <v>2</v>
      </c>
      <c r="D411" s="51" t="s">
        <v>18</v>
      </c>
      <c r="E411">
        <v>510</v>
      </c>
      <c r="F411" s="51" t="s">
        <v>38</v>
      </c>
      <c r="G411">
        <v>6</v>
      </c>
      <c r="H411">
        <v>36</v>
      </c>
      <c r="I411" s="51" t="s">
        <v>36</v>
      </c>
      <c r="J411" t="s">
        <v>66</v>
      </c>
      <c r="K411" t="s">
        <v>67</v>
      </c>
      <c r="L411">
        <v>2</v>
      </c>
      <c r="M411" t="s">
        <v>68</v>
      </c>
    </row>
    <row r="412" spans="1:13" x14ac:dyDescent="0.3">
      <c r="A412">
        <v>2022</v>
      </c>
      <c r="B412" s="50">
        <v>44627</v>
      </c>
      <c r="C412">
        <v>3</v>
      </c>
      <c r="D412" s="51" t="s">
        <v>22</v>
      </c>
      <c r="E412">
        <v>532</v>
      </c>
      <c r="F412" s="51" t="s">
        <v>49</v>
      </c>
      <c r="G412">
        <v>4</v>
      </c>
      <c r="H412">
        <v>40</v>
      </c>
      <c r="I412" s="51" t="s">
        <v>36</v>
      </c>
      <c r="J412" t="s">
        <v>66</v>
      </c>
      <c r="K412" t="s">
        <v>67</v>
      </c>
      <c r="L412">
        <v>3</v>
      </c>
      <c r="M412" t="s">
        <v>69</v>
      </c>
    </row>
    <row r="413" spans="1:13" x14ac:dyDescent="0.3">
      <c r="A413">
        <v>2022</v>
      </c>
      <c r="B413" s="50">
        <v>44627</v>
      </c>
      <c r="C413">
        <v>3</v>
      </c>
      <c r="D413" s="51" t="s">
        <v>22</v>
      </c>
      <c r="E413">
        <v>544</v>
      </c>
      <c r="F413" s="51" t="s">
        <v>23</v>
      </c>
      <c r="G413">
        <v>8</v>
      </c>
      <c r="H413">
        <v>120</v>
      </c>
      <c r="I413" s="51" t="s">
        <v>36</v>
      </c>
      <c r="J413" t="s">
        <v>66</v>
      </c>
      <c r="K413" t="s">
        <v>67</v>
      </c>
      <c r="L413">
        <v>3</v>
      </c>
      <c r="M413" t="s">
        <v>69</v>
      </c>
    </row>
    <row r="414" spans="1:13" x14ac:dyDescent="0.3">
      <c r="A414">
        <v>2022</v>
      </c>
      <c r="B414" s="50">
        <v>44628</v>
      </c>
      <c r="C414">
        <v>3</v>
      </c>
      <c r="D414" s="51" t="s">
        <v>22</v>
      </c>
      <c r="E414">
        <v>536</v>
      </c>
      <c r="F414" s="51" t="s">
        <v>48</v>
      </c>
      <c r="G414">
        <v>2</v>
      </c>
      <c r="H414">
        <v>10</v>
      </c>
      <c r="I414" s="51" t="s">
        <v>36</v>
      </c>
      <c r="J414" t="s">
        <v>66</v>
      </c>
      <c r="K414" t="s">
        <v>67</v>
      </c>
      <c r="L414">
        <v>3</v>
      </c>
      <c r="M414" t="s">
        <v>69</v>
      </c>
    </row>
    <row r="415" spans="1:13" x14ac:dyDescent="0.3">
      <c r="A415">
        <v>2022</v>
      </c>
      <c r="B415" s="50">
        <v>44628</v>
      </c>
      <c r="C415">
        <v>3</v>
      </c>
      <c r="D415" s="51" t="s">
        <v>22</v>
      </c>
      <c r="E415">
        <v>542</v>
      </c>
      <c r="F415" s="51" t="s">
        <v>46</v>
      </c>
      <c r="G415">
        <v>5</v>
      </c>
      <c r="H415">
        <v>50</v>
      </c>
      <c r="I415" s="51" t="s">
        <v>36</v>
      </c>
      <c r="J415" t="s">
        <v>66</v>
      </c>
      <c r="K415" t="s">
        <v>67</v>
      </c>
      <c r="L415">
        <v>3</v>
      </c>
      <c r="M415" t="s">
        <v>69</v>
      </c>
    </row>
    <row r="416" spans="1:13" x14ac:dyDescent="0.3">
      <c r="A416">
        <v>2022</v>
      </c>
      <c r="B416" s="50">
        <v>44634</v>
      </c>
      <c r="C416">
        <v>3</v>
      </c>
      <c r="D416" s="51" t="s">
        <v>22</v>
      </c>
      <c r="E416">
        <v>514</v>
      </c>
      <c r="F416" s="51" t="s">
        <v>40</v>
      </c>
      <c r="G416">
        <v>7</v>
      </c>
      <c r="H416">
        <v>45.5</v>
      </c>
      <c r="I416" s="51" t="s">
        <v>36</v>
      </c>
      <c r="J416" t="s">
        <v>66</v>
      </c>
      <c r="K416" t="s">
        <v>67</v>
      </c>
      <c r="L416">
        <v>3</v>
      </c>
      <c r="M416" t="s">
        <v>69</v>
      </c>
    </row>
    <row r="417" spans="1:13" x14ac:dyDescent="0.3">
      <c r="A417">
        <v>2022</v>
      </c>
      <c r="B417" s="50">
        <v>44634</v>
      </c>
      <c r="C417">
        <v>3</v>
      </c>
      <c r="D417" s="51" t="s">
        <v>22</v>
      </c>
      <c r="E417">
        <v>548</v>
      </c>
      <c r="F417" s="51" t="s">
        <v>37</v>
      </c>
      <c r="G417">
        <v>11</v>
      </c>
      <c r="H417">
        <v>22</v>
      </c>
      <c r="I417" s="51" t="s">
        <v>36</v>
      </c>
      <c r="J417" t="s">
        <v>66</v>
      </c>
      <c r="K417" t="s">
        <v>67</v>
      </c>
      <c r="L417">
        <v>3</v>
      </c>
      <c r="M417" t="s">
        <v>69</v>
      </c>
    </row>
    <row r="418" spans="1:13" x14ac:dyDescent="0.3">
      <c r="A418">
        <v>2022</v>
      </c>
      <c r="B418" s="50">
        <v>44636</v>
      </c>
      <c r="C418">
        <v>3</v>
      </c>
      <c r="D418" s="51" t="s">
        <v>22</v>
      </c>
      <c r="E418">
        <v>540</v>
      </c>
      <c r="F418" s="51" t="s">
        <v>42</v>
      </c>
      <c r="G418">
        <v>11</v>
      </c>
      <c r="H418">
        <v>82.5</v>
      </c>
      <c r="I418" s="51" t="s">
        <v>36</v>
      </c>
      <c r="J418" t="s">
        <v>66</v>
      </c>
      <c r="K418" t="s">
        <v>67</v>
      </c>
      <c r="L418">
        <v>3</v>
      </c>
      <c r="M418" t="s">
        <v>69</v>
      </c>
    </row>
    <row r="419" spans="1:13" x14ac:dyDescent="0.3">
      <c r="A419">
        <v>2022</v>
      </c>
      <c r="B419" s="50">
        <v>44636</v>
      </c>
      <c r="C419">
        <v>3</v>
      </c>
      <c r="D419" s="51" t="s">
        <v>22</v>
      </c>
      <c r="E419">
        <v>560</v>
      </c>
      <c r="F419" s="51" t="s">
        <v>45</v>
      </c>
      <c r="G419">
        <v>9</v>
      </c>
      <c r="H419">
        <v>72</v>
      </c>
      <c r="I419" s="51" t="s">
        <v>36</v>
      </c>
      <c r="J419" t="s">
        <v>66</v>
      </c>
      <c r="K419" t="s">
        <v>67</v>
      </c>
      <c r="L419">
        <v>3</v>
      </c>
      <c r="M419" t="s">
        <v>69</v>
      </c>
    </row>
    <row r="420" spans="1:13" x14ac:dyDescent="0.3">
      <c r="A420">
        <v>2022</v>
      </c>
      <c r="B420" s="50">
        <v>44638</v>
      </c>
      <c r="C420">
        <v>3</v>
      </c>
      <c r="D420" s="51" t="s">
        <v>22</v>
      </c>
      <c r="E420">
        <v>516</v>
      </c>
      <c r="F420" s="51" t="s">
        <v>39</v>
      </c>
      <c r="G420">
        <v>5</v>
      </c>
      <c r="H420">
        <v>22.5</v>
      </c>
      <c r="I420" s="51" t="s">
        <v>36</v>
      </c>
      <c r="J420" t="s">
        <v>66</v>
      </c>
      <c r="K420" t="s">
        <v>67</v>
      </c>
      <c r="L420">
        <v>3</v>
      </c>
      <c r="M420" t="s">
        <v>69</v>
      </c>
    </row>
    <row r="421" spans="1:13" x14ac:dyDescent="0.3">
      <c r="A421">
        <v>2022</v>
      </c>
      <c r="B421" s="50">
        <v>44638</v>
      </c>
      <c r="C421">
        <v>3</v>
      </c>
      <c r="D421" s="51" t="s">
        <v>22</v>
      </c>
      <c r="E421">
        <v>530</v>
      </c>
      <c r="F421" s="51" t="s">
        <v>41</v>
      </c>
      <c r="G421">
        <v>5</v>
      </c>
      <c r="H421">
        <v>42.5</v>
      </c>
      <c r="I421" s="51" t="s">
        <v>36</v>
      </c>
      <c r="J421" t="s">
        <v>66</v>
      </c>
      <c r="K421" t="s">
        <v>67</v>
      </c>
      <c r="L421">
        <v>3</v>
      </c>
      <c r="M421" t="s">
        <v>69</v>
      </c>
    </row>
    <row r="422" spans="1:13" x14ac:dyDescent="0.3">
      <c r="A422">
        <v>2022</v>
      </c>
      <c r="B422" s="50">
        <v>44639</v>
      </c>
      <c r="C422">
        <v>3</v>
      </c>
      <c r="D422" s="51" t="s">
        <v>22</v>
      </c>
      <c r="E422">
        <v>524</v>
      </c>
      <c r="F422" s="51" t="s">
        <v>43</v>
      </c>
      <c r="G422">
        <v>3</v>
      </c>
      <c r="H422">
        <v>6</v>
      </c>
      <c r="I422" s="51" t="s">
        <v>36</v>
      </c>
      <c r="J422" t="s">
        <v>66</v>
      </c>
      <c r="K422" t="s">
        <v>67</v>
      </c>
      <c r="L422">
        <v>3</v>
      </c>
      <c r="M422" t="s">
        <v>69</v>
      </c>
    </row>
    <row r="423" spans="1:13" x14ac:dyDescent="0.3">
      <c r="A423">
        <v>2022</v>
      </c>
      <c r="B423" s="50">
        <v>44639</v>
      </c>
      <c r="C423">
        <v>3</v>
      </c>
      <c r="D423" s="51" t="s">
        <v>22</v>
      </c>
      <c r="E423">
        <v>542</v>
      </c>
      <c r="F423" s="51" t="s">
        <v>46</v>
      </c>
      <c r="G423">
        <v>6</v>
      </c>
      <c r="H423">
        <v>60</v>
      </c>
      <c r="I423" s="51" t="s">
        <v>36</v>
      </c>
      <c r="J423" t="s">
        <v>66</v>
      </c>
      <c r="K423" t="s">
        <v>67</v>
      </c>
      <c r="L423">
        <v>3</v>
      </c>
      <c r="M423" t="s">
        <v>69</v>
      </c>
    </row>
    <row r="424" spans="1:13" x14ac:dyDescent="0.3">
      <c r="A424">
        <v>2022</v>
      </c>
      <c r="B424" s="50">
        <v>44642</v>
      </c>
      <c r="C424">
        <v>3</v>
      </c>
      <c r="D424" s="51" t="s">
        <v>22</v>
      </c>
      <c r="E424">
        <v>518</v>
      </c>
      <c r="F424" s="51" t="s">
        <v>35</v>
      </c>
      <c r="G424">
        <v>4</v>
      </c>
      <c r="H424">
        <v>16</v>
      </c>
      <c r="I424" s="51" t="s">
        <v>36</v>
      </c>
      <c r="J424" t="s">
        <v>66</v>
      </c>
      <c r="K424" t="s">
        <v>67</v>
      </c>
      <c r="L424">
        <v>3</v>
      </c>
      <c r="M424" t="s">
        <v>69</v>
      </c>
    </row>
    <row r="425" spans="1:13" x14ac:dyDescent="0.3">
      <c r="A425">
        <v>2022</v>
      </c>
      <c r="B425" s="50">
        <v>44642</v>
      </c>
      <c r="C425">
        <v>3</v>
      </c>
      <c r="D425" s="51" t="s">
        <v>22</v>
      </c>
      <c r="E425">
        <v>524</v>
      </c>
      <c r="F425" s="51" t="s">
        <v>43</v>
      </c>
      <c r="G425">
        <v>3</v>
      </c>
      <c r="H425">
        <v>6</v>
      </c>
      <c r="I425" s="51" t="s">
        <v>36</v>
      </c>
      <c r="J425" t="s">
        <v>66</v>
      </c>
      <c r="K425" t="s">
        <v>67</v>
      </c>
      <c r="L425">
        <v>3</v>
      </c>
      <c r="M425" t="s">
        <v>69</v>
      </c>
    </row>
    <row r="426" spans="1:13" x14ac:dyDescent="0.3">
      <c r="A426">
        <v>2022</v>
      </c>
      <c r="B426" s="50">
        <v>44644</v>
      </c>
      <c r="C426">
        <v>3</v>
      </c>
      <c r="D426" s="51" t="s">
        <v>22</v>
      </c>
      <c r="E426">
        <v>542</v>
      </c>
      <c r="F426" s="51" t="s">
        <v>46</v>
      </c>
      <c r="G426">
        <v>6</v>
      </c>
      <c r="H426">
        <v>60</v>
      </c>
      <c r="I426" s="51" t="s">
        <v>36</v>
      </c>
      <c r="J426" t="s">
        <v>66</v>
      </c>
      <c r="K426" t="s">
        <v>67</v>
      </c>
      <c r="L426">
        <v>3</v>
      </c>
      <c r="M426" t="s">
        <v>69</v>
      </c>
    </row>
    <row r="427" spans="1:13" x14ac:dyDescent="0.3">
      <c r="A427">
        <v>2022</v>
      </c>
      <c r="B427" s="50">
        <v>44646</v>
      </c>
      <c r="C427">
        <v>3</v>
      </c>
      <c r="D427" s="51" t="s">
        <v>22</v>
      </c>
      <c r="E427">
        <v>510</v>
      </c>
      <c r="F427" s="51" t="s">
        <v>38</v>
      </c>
      <c r="G427">
        <v>6</v>
      </c>
      <c r="H427">
        <v>36</v>
      </c>
      <c r="I427" s="51" t="s">
        <v>36</v>
      </c>
      <c r="J427" t="s">
        <v>66</v>
      </c>
      <c r="K427" t="s">
        <v>67</v>
      </c>
      <c r="L427">
        <v>3</v>
      </c>
      <c r="M427" t="s">
        <v>69</v>
      </c>
    </row>
    <row r="428" spans="1:13" x14ac:dyDescent="0.3">
      <c r="A428">
        <v>2022</v>
      </c>
      <c r="B428" s="50">
        <v>44648</v>
      </c>
      <c r="C428">
        <v>3</v>
      </c>
      <c r="D428" s="51" t="s">
        <v>22</v>
      </c>
      <c r="E428">
        <v>562</v>
      </c>
      <c r="F428" s="51" t="s">
        <v>44</v>
      </c>
      <c r="G428">
        <v>5</v>
      </c>
      <c r="H428">
        <v>25</v>
      </c>
      <c r="I428" s="51" t="s">
        <v>36</v>
      </c>
      <c r="J428" t="s">
        <v>66</v>
      </c>
      <c r="K428" t="s">
        <v>67</v>
      </c>
      <c r="L428">
        <v>3</v>
      </c>
      <c r="M428" t="s">
        <v>69</v>
      </c>
    </row>
    <row r="429" spans="1:13" x14ac:dyDescent="0.3">
      <c r="A429">
        <v>2022</v>
      </c>
      <c r="B429" s="50">
        <v>44648</v>
      </c>
      <c r="C429">
        <v>3</v>
      </c>
      <c r="D429" s="51" t="s">
        <v>22</v>
      </c>
      <c r="E429">
        <v>510</v>
      </c>
      <c r="F429" s="51" t="s">
        <v>38</v>
      </c>
      <c r="G429">
        <v>6</v>
      </c>
      <c r="H429">
        <v>36</v>
      </c>
      <c r="I429" s="51" t="s">
        <v>36</v>
      </c>
      <c r="J429" t="s">
        <v>66</v>
      </c>
      <c r="K429" t="s">
        <v>67</v>
      </c>
      <c r="L429">
        <v>3</v>
      </c>
      <c r="M429" t="s">
        <v>69</v>
      </c>
    </row>
    <row r="430" spans="1:13" x14ac:dyDescent="0.3">
      <c r="A430">
        <v>2022</v>
      </c>
      <c r="B430" s="50">
        <v>44650</v>
      </c>
      <c r="C430">
        <v>3</v>
      </c>
      <c r="D430" s="51" t="s">
        <v>22</v>
      </c>
      <c r="E430">
        <v>544</v>
      </c>
      <c r="F430" s="51" t="s">
        <v>23</v>
      </c>
      <c r="G430">
        <v>6</v>
      </c>
      <c r="H430">
        <v>90</v>
      </c>
      <c r="I430" s="51" t="s">
        <v>36</v>
      </c>
      <c r="J430" t="s">
        <v>66</v>
      </c>
      <c r="K430" t="s">
        <v>67</v>
      </c>
      <c r="L430">
        <v>3</v>
      </c>
      <c r="M430" t="s">
        <v>69</v>
      </c>
    </row>
    <row r="431" spans="1:13" x14ac:dyDescent="0.3">
      <c r="A431">
        <v>2022</v>
      </c>
      <c r="B431" s="50">
        <v>44655</v>
      </c>
      <c r="C431">
        <v>4</v>
      </c>
      <c r="D431" s="51" t="s">
        <v>24</v>
      </c>
      <c r="E431">
        <v>532</v>
      </c>
      <c r="F431" s="51" t="s">
        <v>49</v>
      </c>
      <c r="G431">
        <v>4</v>
      </c>
      <c r="H431">
        <v>40</v>
      </c>
      <c r="I431" s="51" t="s">
        <v>36</v>
      </c>
      <c r="J431" t="s">
        <v>66</v>
      </c>
      <c r="K431" t="s">
        <v>70</v>
      </c>
      <c r="L431">
        <v>4</v>
      </c>
      <c r="M431" t="s">
        <v>71</v>
      </c>
    </row>
    <row r="432" spans="1:13" x14ac:dyDescent="0.3">
      <c r="A432">
        <v>2022</v>
      </c>
      <c r="B432" s="50">
        <v>44655</v>
      </c>
      <c r="C432">
        <v>4</v>
      </c>
      <c r="D432" s="51" t="s">
        <v>24</v>
      </c>
      <c r="E432">
        <v>544</v>
      </c>
      <c r="F432" s="51" t="s">
        <v>23</v>
      </c>
      <c r="G432">
        <v>6</v>
      </c>
      <c r="H432">
        <v>90</v>
      </c>
      <c r="I432" s="51" t="s">
        <v>36</v>
      </c>
      <c r="J432" t="s">
        <v>66</v>
      </c>
      <c r="K432" t="s">
        <v>70</v>
      </c>
      <c r="L432">
        <v>4</v>
      </c>
      <c r="M432" t="s">
        <v>71</v>
      </c>
    </row>
    <row r="433" spans="1:13" x14ac:dyDescent="0.3">
      <c r="A433">
        <v>2022</v>
      </c>
      <c r="B433" s="50">
        <v>44657</v>
      </c>
      <c r="C433">
        <v>4</v>
      </c>
      <c r="D433" s="51" t="s">
        <v>24</v>
      </c>
      <c r="E433">
        <v>536</v>
      </c>
      <c r="F433" s="51" t="s">
        <v>48</v>
      </c>
      <c r="G433">
        <v>7</v>
      </c>
      <c r="H433">
        <v>35</v>
      </c>
      <c r="I433" s="51" t="s">
        <v>36</v>
      </c>
      <c r="J433" t="s">
        <v>66</v>
      </c>
      <c r="K433" t="s">
        <v>70</v>
      </c>
      <c r="L433">
        <v>4</v>
      </c>
      <c r="M433" t="s">
        <v>71</v>
      </c>
    </row>
    <row r="434" spans="1:13" x14ac:dyDescent="0.3">
      <c r="A434">
        <v>2022</v>
      </c>
      <c r="B434" s="50">
        <v>44657</v>
      </c>
      <c r="C434">
        <v>4</v>
      </c>
      <c r="D434" s="51" t="s">
        <v>24</v>
      </c>
      <c r="E434">
        <v>542</v>
      </c>
      <c r="F434" s="51" t="s">
        <v>46</v>
      </c>
      <c r="G434">
        <v>3</v>
      </c>
      <c r="H434">
        <v>30</v>
      </c>
      <c r="I434" s="51" t="s">
        <v>36</v>
      </c>
      <c r="J434" t="s">
        <v>66</v>
      </c>
      <c r="K434" t="s">
        <v>70</v>
      </c>
      <c r="L434">
        <v>4</v>
      </c>
      <c r="M434" t="s">
        <v>71</v>
      </c>
    </row>
    <row r="435" spans="1:13" x14ac:dyDescent="0.3">
      <c r="A435">
        <v>2022</v>
      </c>
      <c r="B435" s="50">
        <v>44659</v>
      </c>
      <c r="C435">
        <v>4</v>
      </c>
      <c r="D435" s="51" t="s">
        <v>24</v>
      </c>
      <c r="E435">
        <v>514</v>
      </c>
      <c r="F435" s="51" t="s">
        <v>40</v>
      </c>
      <c r="G435">
        <v>8</v>
      </c>
      <c r="H435">
        <v>52</v>
      </c>
      <c r="I435" s="51" t="s">
        <v>36</v>
      </c>
      <c r="J435" t="s">
        <v>66</v>
      </c>
      <c r="K435" t="s">
        <v>70</v>
      </c>
      <c r="L435">
        <v>4</v>
      </c>
      <c r="M435" t="s">
        <v>71</v>
      </c>
    </row>
    <row r="436" spans="1:13" x14ac:dyDescent="0.3">
      <c r="A436">
        <v>2022</v>
      </c>
      <c r="B436" s="50">
        <v>44663</v>
      </c>
      <c r="C436">
        <v>4</v>
      </c>
      <c r="D436" s="51" t="s">
        <v>24</v>
      </c>
      <c r="E436">
        <v>540</v>
      </c>
      <c r="F436" s="51" t="s">
        <v>42</v>
      </c>
      <c r="G436">
        <v>5</v>
      </c>
      <c r="H436">
        <v>37.5</v>
      </c>
      <c r="I436" s="51" t="s">
        <v>36</v>
      </c>
      <c r="J436" t="s">
        <v>66</v>
      </c>
      <c r="K436" t="s">
        <v>70</v>
      </c>
      <c r="L436">
        <v>4</v>
      </c>
      <c r="M436" t="s">
        <v>71</v>
      </c>
    </row>
    <row r="437" spans="1:13" x14ac:dyDescent="0.3">
      <c r="A437">
        <v>2022</v>
      </c>
      <c r="B437" s="50">
        <v>44663</v>
      </c>
      <c r="C437">
        <v>4</v>
      </c>
      <c r="D437" s="51" t="s">
        <v>24</v>
      </c>
      <c r="E437">
        <v>560</v>
      </c>
      <c r="F437" s="51" t="s">
        <v>45</v>
      </c>
      <c r="G437">
        <v>5</v>
      </c>
      <c r="H437">
        <v>40</v>
      </c>
      <c r="I437" s="51" t="s">
        <v>36</v>
      </c>
      <c r="J437" t="s">
        <v>66</v>
      </c>
      <c r="K437" t="s">
        <v>70</v>
      </c>
      <c r="L437">
        <v>4</v>
      </c>
      <c r="M437" t="s">
        <v>71</v>
      </c>
    </row>
    <row r="438" spans="1:13" x14ac:dyDescent="0.3">
      <c r="A438">
        <v>2022</v>
      </c>
      <c r="B438" s="50">
        <v>44665</v>
      </c>
      <c r="C438">
        <v>4</v>
      </c>
      <c r="D438" s="51" t="s">
        <v>24</v>
      </c>
      <c r="E438">
        <v>516</v>
      </c>
      <c r="F438" s="51" t="s">
        <v>39</v>
      </c>
      <c r="G438">
        <v>9</v>
      </c>
      <c r="H438">
        <v>40.5</v>
      </c>
      <c r="I438" s="51" t="s">
        <v>36</v>
      </c>
      <c r="J438" t="s">
        <v>66</v>
      </c>
      <c r="K438" t="s">
        <v>70</v>
      </c>
      <c r="L438">
        <v>4</v>
      </c>
      <c r="M438" t="s">
        <v>71</v>
      </c>
    </row>
    <row r="439" spans="1:13" x14ac:dyDescent="0.3">
      <c r="A439">
        <v>2022</v>
      </c>
      <c r="B439" s="50">
        <v>44665</v>
      </c>
      <c r="C439">
        <v>4</v>
      </c>
      <c r="D439" s="51" t="s">
        <v>24</v>
      </c>
      <c r="E439">
        <v>530</v>
      </c>
      <c r="F439" s="51" t="s">
        <v>41</v>
      </c>
      <c r="G439">
        <v>5</v>
      </c>
      <c r="H439">
        <v>42.5</v>
      </c>
      <c r="I439" s="51" t="s">
        <v>36</v>
      </c>
      <c r="J439" t="s">
        <v>66</v>
      </c>
      <c r="K439" t="s">
        <v>70</v>
      </c>
      <c r="L439">
        <v>4</v>
      </c>
      <c r="M439" t="s">
        <v>71</v>
      </c>
    </row>
    <row r="440" spans="1:13" x14ac:dyDescent="0.3">
      <c r="A440">
        <v>2022</v>
      </c>
      <c r="B440" s="50">
        <v>44669</v>
      </c>
      <c r="C440">
        <v>4</v>
      </c>
      <c r="D440" s="51" t="s">
        <v>24</v>
      </c>
      <c r="E440">
        <v>518</v>
      </c>
      <c r="F440" s="51" t="s">
        <v>35</v>
      </c>
      <c r="G440">
        <v>4</v>
      </c>
      <c r="H440">
        <v>16</v>
      </c>
      <c r="I440" s="51" t="s">
        <v>36</v>
      </c>
      <c r="J440" t="s">
        <v>66</v>
      </c>
      <c r="K440" t="s">
        <v>70</v>
      </c>
      <c r="L440">
        <v>4</v>
      </c>
      <c r="M440" t="s">
        <v>71</v>
      </c>
    </row>
    <row r="441" spans="1:13" x14ac:dyDescent="0.3">
      <c r="A441">
        <v>2022</v>
      </c>
      <c r="B441" s="50">
        <v>44669</v>
      </c>
      <c r="C441">
        <v>4</v>
      </c>
      <c r="D441" s="51" t="s">
        <v>24</v>
      </c>
      <c r="E441">
        <v>524</v>
      </c>
      <c r="F441" s="51" t="s">
        <v>43</v>
      </c>
      <c r="G441">
        <v>3</v>
      </c>
      <c r="H441">
        <v>6</v>
      </c>
      <c r="I441" s="51" t="s">
        <v>36</v>
      </c>
      <c r="J441" t="s">
        <v>66</v>
      </c>
      <c r="K441" t="s">
        <v>70</v>
      </c>
      <c r="L441">
        <v>4</v>
      </c>
      <c r="M441" t="s">
        <v>71</v>
      </c>
    </row>
    <row r="442" spans="1:13" x14ac:dyDescent="0.3">
      <c r="A442">
        <v>2022</v>
      </c>
      <c r="B442" s="50">
        <v>44671</v>
      </c>
      <c r="C442">
        <v>4</v>
      </c>
      <c r="D442" s="51" t="s">
        <v>24</v>
      </c>
      <c r="E442">
        <v>542</v>
      </c>
      <c r="F442" s="51" t="s">
        <v>46</v>
      </c>
      <c r="G442">
        <v>6</v>
      </c>
      <c r="H442">
        <v>60</v>
      </c>
      <c r="I442" s="51" t="s">
        <v>36</v>
      </c>
      <c r="J442" t="s">
        <v>66</v>
      </c>
      <c r="K442" t="s">
        <v>70</v>
      </c>
      <c r="L442">
        <v>4</v>
      </c>
      <c r="M442" t="s">
        <v>71</v>
      </c>
    </row>
    <row r="443" spans="1:13" x14ac:dyDescent="0.3">
      <c r="A443">
        <v>2022</v>
      </c>
      <c r="B443" s="50">
        <v>44673</v>
      </c>
      <c r="C443">
        <v>4</v>
      </c>
      <c r="D443" s="51" t="s">
        <v>24</v>
      </c>
      <c r="E443">
        <v>510</v>
      </c>
      <c r="F443" s="51" t="s">
        <v>38</v>
      </c>
      <c r="G443">
        <v>6</v>
      </c>
      <c r="H443">
        <v>36</v>
      </c>
      <c r="I443" s="51" t="s">
        <v>36</v>
      </c>
      <c r="J443" t="s">
        <v>66</v>
      </c>
      <c r="K443" t="s">
        <v>70</v>
      </c>
      <c r="L443">
        <v>4</v>
      </c>
      <c r="M443" t="s">
        <v>71</v>
      </c>
    </row>
    <row r="444" spans="1:13" x14ac:dyDescent="0.3">
      <c r="A444">
        <v>2022</v>
      </c>
      <c r="B444" s="50">
        <v>44677</v>
      </c>
      <c r="C444">
        <v>4</v>
      </c>
      <c r="D444" s="51" t="s">
        <v>24</v>
      </c>
      <c r="E444">
        <v>562</v>
      </c>
      <c r="F444" s="51" t="s">
        <v>44</v>
      </c>
      <c r="G444">
        <v>5</v>
      </c>
      <c r="H444">
        <v>25</v>
      </c>
      <c r="I444" s="51" t="s">
        <v>36</v>
      </c>
      <c r="J444" t="s">
        <v>66</v>
      </c>
      <c r="K444" t="s">
        <v>70</v>
      </c>
      <c r="L444">
        <v>4</v>
      </c>
      <c r="M444" t="s">
        <v>71</v>
      </c>
    </row>
    <row r="445" spans="1:13" x14ac:dyDescent="0.3">
      <c r="A445">
        <v>2022</v>
      </c>
      <c r="B445" s="50">
        <v>44677</v>
      </c>
      <c r="C445">
        <v>4</v>
      </c>
      <c r="D445" s="51" t="s">
        <v>24</v>
      </c>
      <c r="E445">
        <v>510</v>
      </c>
      <c r="F445" s="51" t="s">
        <v>38</v>
      </c>
      <c r="G445">
        <v>6</v>
      </c>
      <c r="H445">
        <v>36</v>
      </c>
      <c r="I445" s="51" t="s">
        <v>36</v>
      </c>
      <c r="J445" t="s">
        <v>66</v>
      </c>
      <c r="K445" t="s">
        <v>70</v>
      </c>
      <c r="L445">
        <v>4</v>
      </c>
      <c r="M445" t="s">
        <v>71</v>
      </c>
    </row>
    <row r="446" spans="1:13" x14ac:dyDescent="0.3">
      <c r="A446">
        <v>2022</v>
      </c>
      <c r="B446" s="50">
        <v>44683</v>
      </c>
      <c r="C446">
        <v>5</v>
      </c>
      <c r="D446" s="51" t="s">
        <v>26</v>
      </c>
      <c r="E446">
        <v>532</v>
      </c>
      <c r="F446" s="51" t="s">
        <v>49</v>
      </c>
      <c r="G446">
        <v>2</v>
      </c>
      <c r="H446">
        <v>20</v>
      </c>
      <c r="I446" s="51" t="s">
        <v>36</v>
      </c>
      <c r="J446" t="s">
        <v>66</v>
      </c>
      <c r="K446" t="s">
        <v>70</v>
      </c>
      <c r="L446">
        <v>5</v>
      </c>
      <c r="M446" t="s">
        <v>72</v>
      </c>
    </row>
    <row r="447" spans="1:13" x14ac:dyDescent="0.3">
      <c r="A447">
        <v>2022</v>
      </c>
      <c r="B447" s="50">
        <v>44683</v>
      </c>
      <c r="C447">
        <v>5</v>
      </c>
      <c r="D447" s="51" t="s">
        <v>26</v>
      </c>
      <c r="E447">
        <v>544</v>
      </c>
      <c r="F447" s="51" t="s">
        <v>23</v>
      </c>
      <c r="G447">
        <v>6</v>
      </c>
      <c r="H447">
        <v>90</v>
      </c>
      <c r="I447" s="51" t="s">
        <v>36</v>
      </c>
      <c r="J447" t="s">
        <v>66</v>
      </c>
      <c r="K447" t="s">
        <v>70</v>
      </c>
      <c r="L447">
        <v>5</v>
      </c>
      <c r="M447" t="s">
        <v>72</v>
      </c>
    </row>
    <row r="448" spans="1:13" x14ac:dyDescent="0.3">
      <c r="A448">
        <v>2022</v>
      </c>
      <c r="B448" s="50">
        <v>44685</v>
      </c>
      <c r="C448">
        <v>5</v>
      </c>
      <c r="D448" s="51" t="s">
        <v>26</v>
      </c>
      <c r="E448">
        <v>536</v>
      </c>
      <c r="F448" s="51" t="s">
        <v>48</v>
      </c>
      <c r="G448">
        <v>5</v>
      </c>
      <c r="H448">
        <v>25</v>
      </c>
      <c r="I448" s="51" t="s">
        <v>36</v>
      </c>
      <c r="J448" t="s">
        <v>66</v>
      </c>
      <c r="K448" t="s">
        <v>70</v>
      </c>
      <c r="L448">
        <v>5</v>
      </c>
      <c r="M448" t="s">
        <v>72</v>
      </c>
    </row>
    <row r="449" spans="1:13" x14ac:dyDescent="0.3">
      <c r="A449">
        <v>2022</v>
      </c>
      <c r="B449" s="50">
        <v>44685</v>
      </c>
      <c r="C449">
        <v>5</v>
      </c>
      <c r="D449" s="51" t="s">
        <v>26</v>
      </c>
      <c r="E449">
        <v>580</v>
      </c>
      <c r="F449" s="51" t="s">
        <v>25</v>
      </c>
      <c r="G449">
        <v>13</v>
      </c>
      <c r="H449">
        <v>104</v>
      </c>
      <c r="I449" s="51" t="s">
        <v>36</v>
      </c>
      <c r="J449" t="s">
        <v>66</v>
      </c>
      <c r="K449" t="s">
        <v>70</v>
      </c>
      <c r="L449">
        <v>5</v>
      </c>
      <c r="M449" t="s">
        <v>72</v>
      </c>
    </row>
    <row r="450" spans="1:13" x14ac:dyDescent="0.3">
      <c r="A450">
        <v>2022</v>
      </c>
      <c r="B450" s="50">
        <v>44685</v>
      </c>
      <c r="C450">
        <v>5</v>
      </c>
      <c r="D450" s="51" t="s">
        <v>26</v>
      </c>
      <c r="E450">
        <v>542</v>
      </c>
      <c r="F450" s="51" t="s">
        <v>46</v>
      </c>
      <c r="G450">
        <v>3</v>
      </c>
      <c r="H450">
        <v>30</v>
      </c>
      <c r="I450" s="51" t="s">
        <v>36</v>
      </c>
      <c r="J450" t="s">
        <v>66</v>
      </c>
      <c r="K450" t="s">
        <v>70</v>
      </c>
      <c r="L450">
        <v>5</v>
      </c>
      <c r="M450" t="s">
        <v>72</v>
      </c>
    </row>
    <row r="451" spans="1:13" x14ac:dyDescent="0.3">
      <c r="A451">
        <v>2022</v>
      </c>
      <c r="B451" s="50">
        <v>44687</v>
      </c>
      <c r="C451">
        <v>5</v>
      </c>
      <c r="D451" s="51" t="s">
        <v>26</v>
      </c>
      <c r="E451">
        <v>514</v>
      </c>
      <c r="F451" s="51" t="s">
        <v>40</v>
      </c>
      <c r="G451">
        <v>7</v>
      </c>
      <c r="H451">
        <v>45.5</v>
      </c>
      <c r="I451" s="51" t="s">
        <v>36</v>
      </c>
      <c r="J451" t="s">
        <v>66</v>
      </c>
      <c r="K451" t="s">
        <v>70</v>
      </c>
      <c r="L451">
        <v>5</v>
      </c>
      <c r="M451" t="s">
        <v>72</v>
      </c>
    </row>
    <row r="452" spans="1:13" x14ac:dyDescent="0.3">
      <c r="A452">
        <v>2022</v>
      </c>
      <c r="B452" s="50">
        <v>44687</v>
      </c>
      <c r="C452">
        <v>5</v>
      </c>
      <c r="D452" s="51" t="s">
        <v>26</v>
      </c>
      <c r="E452">
        <v>548</v>
      </c>
      <c r="F452" s="51" t="s">
        <v>37</v>
      </c>
      <c r="G452">
        <v>10</v>
      </c>
      <c r="H452">
        <v>20</v>
      </c>
      <c r="I452" s="51" t="s">
        <v>36</v>
      </c>
      <c r="J452" t="s">
        <v>66</v>
      </c>
      <c r="K452" t="s">
        <v>70</v>
      </c>
      <c r="L452">
        <v>5</v>
      </c>
      <c r="M452" t="s">
        <v>72</v>
      </c>
    </row>
    <row r="453" spans="1:13" x14ac:dyDescent="0.3">
      <c r="A453">
        <v>2022</v>
      </c>
      <c r="B453" s="50">
        <v>44690</v>
      </c>
      <c r="C453">
        <v>5</v>
      </c>
      <c r="D453" s="51" t="s">
        <v>26</v>
      </c>
      <c r="E453">
        <v>540</v>
      </c>
      <c r="F453" s="51" t="s">
        <v>42</v>
      </c>
      <c r="G453">
        <v>5</v>
      </c>
      <c r="H453">
        <v>37.5</v>
      </c>
      <c r="I453" s="51" t="s">
        <v>36</v>
      </c>
      <c r="J453" t="s">
        <v>66</v>
      </c>
      <c r="K453" t="s">
        <v>70</v>
      </c>
      <c r="L453">
        <v>5</v>
      </c>
      <c r="M453" t="s">
        <v>72</v>
      </c>
    </row>
    <row r="454" spans="1:13" x14ac:dyDescent="0.3">
      <c r="A454">
        <v>2022</v>
      </c>
      <c r="B454" s="50">
        <v>44690</v>
      </c>
      <c r="C454">
        <v>5</v>
      </c>
      <c r="D454" s="51" t="s">
        <v>26</v>
      </c>
      <c r="E454">
        <v>560</v>
      </c>
      <c r="F454" s="51" t="s">
        <v>45</v>
      </c>
      <c r="G454">
        <v>5</v>
      </c>
      <c r="H454">
        <v>40</v>
      </c>
      <c r="I454" s="51" t="s">
        <v>36</v>
      </c>
      <c r="J454" t="s">
        <v>66</v>
      </c>
      <c r="K454" t="s">
        <v>70</v>
      </c>
      <c r="L454">
        <v>5</v>
      </c>
      <c r="M454" t="s">
        <v>72</v>
      </c>
    </row>
    <row r="455" spans="1:13" x14ac:dyDescent="0.3">
      <c r="A455">
        <v>2022</v>
      </c>
      <c r="B455" s="50">
        <v>44697</v>
      </c>
      <c r="C455">
        <v>5</v>
      </c>
      <c r="D455" s="51" t="s">
        <v>26</v>
      </c>
      <c r="E455">
        <v>516</v>
      </c>
      <c r="F455" s="51" t="s">
        <v>39</v>
      </c>
      <c r="G455">
        <v>7</v>
      </c>
      <c r="H455">
        <v>31.5</v>
      </c>
      <c r="I455" s="51" t="s">
        <v>36</v>
      </c>
      <c r="J455" t="s">
        <v>66</v>
      </c>
      <c r="K455" t="s">
        <v>70</v>
      </c>
      <c r="L455">
        <v>5</v>
      </c>
      <c r="M455" t="s">
        <v>72</v>
      </c>
    </row>
    <row r="456" spans="1:13" x14ac:dyDescent="0.3">
      <c r="A456">
        <v>2022</v>
      </c>
      <c r="B456" s="50">
        <v>44697</v>
      </c>
      <c r="C456">
        <v>5</v>
      </c>
      <c r="D456" s="51" t="s">
        <v>26</v>
      </c>
      <c r="E456">
        <v>530</v>
      </c>
      <c r="F456" s="51" t="s">
        <v>41</v>
      </c>
      <c r="G456">
        <v>5</v>
      </c>
      <c r="H456">
        <v>42.5</v>
      </c>
      <c r="I456" s="51" t="s">
        <v>36</v>
      </c>
      <c r="J456" t="s">
        <v>66</v>
      </c>
      <c r="K456" t="s">
        <v>70</v>
      </c>
      <c r="L456">
        <v>5</v>
      </c>
      <c r="M456" t="s">
        <v>72</v>
      </c>
    </row>
    <row r="457" spans="1:13" x14ac:dyDescent="0.3">
      <c r="A457">
        <v>2022</v>
      </c>
      <c r="B457" s="50">
        <v>44699</v>
      </c>
      <c r="C457">
        <v>5</v>
      </c>
      <c r="D457" s="51" t="s">
        <v>26</v>
      </c>
      <c r="E457">
        <v>518</v>
      </c>
      <c r="F457" s="51" t="s">
        <v>35</v>
      </c>
      <c r="G457">
        <v>4</v>
      </c>
      <c r="H457">
        <v>16</v>
      </c>
      <c r="I457" s="51" t="s">
        <v>36</v>
      </c>
      <c r="J457" t="s">
        <v>66</v>
      </c>
      <c r="K457" t="s">
        <v>70</v>
      </c>
      <c r="L457">
        <v>5</v>
      </c>
      <c r="M457" t="s">
        <v>72</v>
      </c>
    </row>
    <row r="458" spans="1:13" x14ac:dyDescent="0.3">
      <c r="A458">
        <v>2022</v>
      </c>
      <c r="B458" s="50">
        <v>44699</v>
      </c>
      <c r="C458">
        <v>5</v>
      </c>
      <c r="D458" s="51" t="s">
        <v>26</v>
      </c>
      <c r="E458">
        <v>524</v>
      </c>
      <c r="F458" s="51" t="s">
        <v>43</v>
      </c>
      <c r="G458">
        <v>3</v>
      </c>
      <c r="H458">
        <v>6</v>
      </c>
      <c r="I458" s="51" t="s">
        <v>36</v>
      </c>
      <c r="J458" t="s">
        <v>66</v>
      </c>
      <c r="K458" t="s">
        <v>70</v>
      </c>
      <c r="L458">
        <v>5</v>
      </c>
      <c r="M458" t="s">
        <v>72</v>
      </c>
    </row>
    <row r="459" spans="1:13" x14ac:dyDescent="0.3">
      <c r="A459">
        <v>2022</v>
      </c>
      <c r="B459" s="50">
        <v>44701</v>
      </c>
      <c r="C459">
        <v>5</v>
      </c>
      <c r="D459" s="51" t="s">
        <v>26</v>
      </c>
      <c r="E459">
        <v>542</v>
      </c>
      <c r="F459" s="51" t="s">
        <v>46</v>
      </c>
      <c r="G459">
        <v>6</v>
      </c>
      <c r="H459">
        <v>60</v>
      </c>
      <c r="I459" s="51" t="s">
        <v>36</v>
      </c>
      <c r="J459" t="s">
        <v>66</v>
      </c>
      <c r="K459" t="s">
        <v>70</v>
      </c>
      <c r="L459">
        <v>5</v>
      </c>
      <c r="M459" t="s">
        <v>72</v>
      </c>
    </row>
    <row r="460" spans="1:13" x14ac:dyDescent="0.3">
      <c r="A460">
        <v>2022</v>
      </c>
      <c r="B460" s="50">
        <v>44704</v>
      </c>
      <c r="C460">
        <v>5</v>
      </c>
      <c r="D460" s="51" t="s">
        <v>26</v>
      </c>
      <c r="E460">
        <v>510</v>
      </c>
      <c r="F460" s="51" t="s">
        <v>38</v>
      </c>
      <c r="G460">
        <v>6</v>
      </c>
      <c r="H460">
        <v>36</v>
      </c>
      <c r="I460" s="51" t="s">
        <v>36</v>
      </c>
      <c r="J460" t="s">
        <v>66</v>
      </c>
      <c r="K460" t="s">
        <v>70</v>
      </c>
      <c r="L460">
        <v>5</v>
      </c>
      <c r="M460" t="s">
        <v>72</v>
      </c>
    </row>
    <row r="461" spans="1:13" x14ac:dyDescent="0.3">
      <c r="A461">
        <v>2022</v>
      </c>
      <c r="B461" s="50">
        <v>44706</v>
      </c>
      <c r="C461">
        <v>5</v>
      </c>
      <c r="D461" s="51" t="s">
        <v>26</v>
      </c>
      <c r="E461">
        <v>562</v>
      </c>
      <c r="F461" s="51" t="s">
        <v>44</v>
      </c>
      <c r="G461">
        <v>5</v>
      </c>
      <c r="H461">
        <v>25</v>
      </c>
      <c r="I461" s="51" t="s">
        <v>36</v>
      </c>
      <c r="J461" t="s">
        <v>66</v>
      </c>
      <c r="K461" t="s">
        <v>70</v>
      </c>
      <c r="L461">
        <v>5</v>
      </c>
      <c r="M461" t="s">
        <v>72</v>
      </c>
    </row>
    <row r="462" spans="1:13" x14ac:dyDescent="0.3">
      <c r="A462">
        <v>2022</v>
      </c>
      <c r="B462" s="50">
        <v>44706</v>
      </c>
      <c r="C462">
        <v>5</v>
      </c>
      <c r="D462" s="51" t="s">
        <v>26</v>
      </c>
      <c r="E462">
        <v>510</v>
      </c>
      <c r="F462" s="51" t="s">
        <v>38</v>
      </c>
      <c r="G462">
        <v>6</v>
      </c>
      <c r="H462">
        <v>36</v>
      </c>
      <c r="I462" s="51" t="s">
        <v>36</v>
      </c>
      <c r="J462" t="s">
        <v>66</v>
      </c>
      <c r="K462" t="s">
        <v>70</v>
      </c>
      <c r="L462">
        <v>5</v>
      </c>
      <c r="M462" t="s">
        <v>72</v>
      </c>
    </row>
    <row r="463" spans="1:13" x14ac:dyDescent="0.3">
      <c r="A463">
        <v>2022</v>
      </c>
      <c r="B463" s="50">
        <v>44707</v>
      </c>
      <c r="C463">
        <v>5</v>
      </c>
      <c r="D463" s="51" t="s">
        <v>26</v>
      </c>
      <c r="E463">
        <v>532</v>
      </c>
      <c r="F463" s="51" t="s">
        <v>49</v>
      </c>
      <c r="G463">
        <v>2</v>
      </c>
      <c r="H463">
        <v>20</v>
      </c>
      <c r="I463" s="51" t="s">
        <v>36</v>
      </c>
      <c r="J463" t="s">
        <v>66</v>
      </c>
      <c r="K463" t="s">
        <v>70</v>
      </c>
      <c r="L463">
        <v>5</v>
      </c>
      <c r="M463" t="s">
        <v>72</v>
      </c>
    </row>
    <row r="464" spans="1:13" x14ac:dyDescent="0.3">
      <c r="A464">
        <v>2022</v>
      </c>
      <c r="B464" s="50">
        <v>44707</v>
      </c>
      <c r="C464">
        <v>5</v>
      </c>
      <c r="D464" s="51" t="s">
        <v>26</v>
      </c>
      <c r="E464">
        <v>544</v>
      </c>
      <c r="F464" s="51" t="s">
        <v>23</v>
      </c>
      <c r="G464">
        <v>6</v>
      </c>
      <c r="H464">
        <v>90</v>
      </c>
      <c r="I464" s="51" t="s">
        <v>36</v>
      </c>
      <c r="J464" t="s">
        <v>66</v>
      </c>
      <c r="K464" t="s">
        <v>70</v>
      </c>
      <c r="L464">
        <v>5</v>
      </c>
      <c r="M464" t="s">
        <v>72</v>
      </c>
    </row>
    <row r="465" spans="1:13" x14ac:dyDescent="0.3">
      <c r="A465">
        <v>2022</v>
      </c>
      <c r="B465" s="50">
        <v>44707</v>
      </c>
      <c r="C465">
        <v>5</v>
      </c>
      <c r="D465" s="51" t="s">
        <v>26</v>
      </c>
      <c r="E465">
        <v>536</v>
      </c>
      <c r="F465" s="51" t="s">
        <v>48</v>
      </c>
      <c r="G465">
        <v>5</v>
      </c>
      <c r="H465">
        <v>25</v>
      </c>
      <c r="I465" s="51" t="s">
        <v>36</v>
      </c>
      <c r="J465" t="s">
        <v>66</v>
      </c>
      <c r="K465" t="s">
        <v>70</v>
      </c>
      <c r="L465">
        <v>5</v>
      </c>
      <c r="M465" t="s">
        <v>72</v>
      </c>
    </row>
    <row r="466" spans="1:13" x14ac:dyDescent="0.3">
      <c r="A466">
        <v>2022</v>
      </c>
      <c r="B466" s="50">
        <v>44708</v>
      </c>
      <c r="C466">
        <v>5</v>
      </c>
      <c r="D466" s="51" t="s">
        <v>26</v>
      </c>
      <c r="E466">
        <v>542</v>
      </c>
      <c r="F466" s="51" t="s">
        <v>46</v>
      </c>
      <c r="G466">
        <v>3</v>
      </c>
      <c r="H466">
        <v>30</v>
      </c>
      <c r="I466" s="51" t="s">
        <v>36</v>
      </c>
      <c r="J466" t="s">
        <v>66</v>
      </c>
      <c r="K466" t="s">
        <v>70</v>
      </c>
      <c r="L466">
        <v>5</v>
      </c>
      <c r="M466" t="s">
        <v>72</v>
      </c>
    </row>
    <row r="467" spans="1:13" x14ac:dyDescent="0.3">
      <c r="A467">
        <v>2022</v>
      </c>
      <c r="B467" s="50">
        <v>44708</v>
      </c>
      <c r="C467">
        <v>5</v>
      </c>
      <c r="D467" s="51" t="s">
        <v>26</v>
      </c>
      <c r="E467">
        <v>580</v>
      </c>
      <c r="F467" s="51" t="s">
        <v>25</v>
      </c>
      <c r="G467">
        <v>15</v>
      </c>
      <c r="H467">
        <v>120</v>
      </c>
      <c r="I467" s="51" t="s">
        <v>36</v>
      </c>
      <c r="J467" t="s">
        <v>66</v>
      </c>
      <c r="K467" t="s">
        <v>70</v>
      </c>
      <c r="L467">
        <v>5</v>
      </c>
      <c r="M467" t="s">
        <v>72</v>
      </c>
    </row>
    <row r="468" spans="1:13" x14ac:dyDescent="0.3">
      <c r="A468">
        <v>2022</v>
      </c>
      <c r="B468" s="50">
        <v>44708</v>
      </c>
      <c r="C468">
        <v>5</v>
      </c>
      <c r="D468" s="51" t="s">
        <v>26</v>
      </c>
      <c r="E468">
        <v>514</v>
      </c>
      <c r="F468" s="51" t="s">
        <v>40</v>
      </c>
      <c r="G468">
        <v>7</v>
      </c>
      <c r="H468">
        <v>45.5</v>
      </c>
      <c r="I468" s="51" t="s">
        <v>36</v>
      </c>
      <c r="J468" t="s">
        <v>66</v>
      </c>
      <c r="K468" t="s">
        <v>70</v>
      </c>
      <c r="L468">
        <v>5</v>
      </c>
      <c r="M468" t="s">
        <v>72</v>
      </c>
    </row>
    <row r="469" spans="1:13" x14ac:dyDescent="0.3">
      <c r="A469">
        <v>2022</v>
      </c>
      <c r="B469" s="50">
        <v>44713</v>
      </c>
      <c r="C469">
        <v>6</v>
      </c>
      <c r="D469" s="51" t="s">
        <v>27</v>
      </c>
      <c r="E469">
        <v>532</v>
      </c>
      <c r="F469" s="51" t="s">
        <v>49</v>
      </c>
      <c r="G469">
        <v>2</v>
      </c>
      <c r="H469">
        <v>20</v>
      </c>
      <c r="I469" s="51" t="s">
        <v>36</v>
      </c>
      <c r="J469" t="s">
        <v>66</v>
      </c>
      <c r="K469" t="s">
        <v>70</v>
      </c>
      <c r="L469">
        <v>6</v>
      </c>
      <c r="M469" t="s">
        <v>73</v>
      </c>
    </row>
    <row r="470" spans="1:13" x14ac:dyDescent="0.3">
      <c r="A470">
        <v>2022</v>
      </c>
      <c r="B470" s="50">
        <v>44713</v>
      </c>
      <c r="C470">
        <v>6</v>
      </c>
      <c r="D470" s="51" t="s">
        <v>27</v>
      </c>
      <c r="E470">
        <v>544</v>
      </c>
      <c r="F470" s="51" t="s">
        <v>23</v>
      </c>
      <c r="G470">
        <v>6</v>
      </c>
      <c r="H470">
        <v>90</v>
      </c>
      <c r="I470" s="51" t="s">
        <v>36</v>
      </c>
      <c r="J470" t="s">
        <v>66</v>
      </c>
      <c r="K470" t="s">
        <v>70</v>
      </c>
      <c r="L470">
        <v>6</v>
      </c>
      <c r="M470" t="s">
        <v>73</v>
      </c>
    </row>
    <row r="471" spans="1:13" x14ac:dyDescent="0.3">
      <c r="A471">
        <v>2022</v>
      </c>
      <c r="B471" s="50">
        <v>44715</v>
      </c>
      <c r="C471">
        <v>6</v>
      </c>
      <c r="D471" s="51" t="s">
        <v>27</v>
      </c>
      <c r="E471">
        <v>536</v>
      </c>
      <c r="F471" s="51" t="s">
        <v>48</v>
      </c>
      <c r="G471">
        <v>5</v>
      </c>
      <c r="H471">
        <v>25</v>
      </c>
      <c r="I471" s="51" t="s">
        <v>36</v>
      </c>
      <c r="J471" t="s">
        <v>66</v>
      </c>
      <c r="K471" t="s">
        <v>70</v>
      </c>
      <c r="L471">
        <v>6</v>
      </c>
      <c r="M471" t="s">
        <v>73</v>
      </c>
    </row>
    <row r="472" spans="1:13" x14ac:dyDescent="0.3">
      <c r="A472">
        <v>2022</v>
      </c>
      <c r="B472" s="50">
        <v>44718</v>
      </c>
      <c r="C472">
        <v>6</v>
      </c>
      <c r="D472" s="51" t="s">
        <v>27</v>
      </c>
      <c r="E472">
        <v>542</v>
      </c>
      <c r="F472" s="51" t="s">
        <v>46</v>
      </c>
      <c r="G472">
        <v>3</v>
      </c>
      <c r="H472">
        <v>30</v>
      </c>
      <c r="I472" s="51" t="s">
        <v>36</v>
      </c>
      <c r="J472" t="s">
        <v>66</v>
      </c>
      <c r="K472" t="s">
        <v>70</v>
      </c>
      <c r="L472">
        <v>6</v>
      </c>
      <c r="M472" t="s">
        <v>73</v>
      </c>
    </row>
    <row r="473" spans="1:13" x14ac:dyDescent="0.3">
      <c r="A473">
        <v>2022</v>
      </c>
      <c r="B473" s="50">
        <v>44718</v>
      </c>
      <c r="C473">
        <v>6</v>
      </c>
      <c r="D473" s="51" t="s">
        <v>27</v>
      </c>
      <c r="E473">
        <v>514</v>
      </c>
      <c r="F473" s="51" t="s">
        <v>40</v>
      </c>
      <c r="G473">
        <v>7</v>
      </c>
      <c r="H473">
        <v>45.5</v>
      </c>
      <c r="I473" s="51" t="s">
        <v>36</v>
      </c>
      <c r="J473" t="s">
        <v>66</v>
      </c>
      <c r="K473" t="s">
        <v>70</v>
      </c>
      <c r="L473">
        <v>6</v>
      </c>
      <c r="M473" t="s">
        <v>73</v>
      </c>
    </row>
    <row r="474" spans="1:13" x14ac:dyDescent="0.3">
      <c r="A474">
        <v>2022</v>
      </c>
      <c r="B474" s="50">
        <v>44718</v>
      </c>
      <c r="C474">
        <v>6</v>
      </c>
      <c r="D474" s="51" t="s">
        <v>27</v>
      </c>
      <c r="E474">
        <v>580</v>
      </c>
      <c r="F474" s="51" t="s">
        <v>25</v>
      </c>
      <c r="G474">
        <v>15</v>
      </c>
      <c r="H474">
        <v>120</v>
      </c>
      <c r="I474" s="51" t="s">
        <v>36</v>
      </c>
      <c r="J474" t="s">
        <v>66</v>
      </c>
      <c r="K474" t="s">
        <v>70</v>
      </c>
      <c r="L474">
        <v>6</v>
      </c>
      <c r="M474" t="s">
        <v>73</v>
      </c>
    </row>
    <row r="475" spans="1:13" x14ac:dyDescent="0.3">
      <c r="A475">
        <v>2022</v>
      </c>
      <c r="B475" s="50">
        <v>44720</v>
      </c>
      <c r="C475">
        <v>6</v>
      </c>
      <c r="D475" s="51" t="s">
        <v>27</v>
      </c>
      <c r="E475">
        <v>548</v>
      </c>
      <c r="F475" s="51" t="s">
        <v>37</v>
      </c>
      <c r="G475">
        <v>10</v>
      </c>
      <c r="H475">
        <v>20</v>
      </c>
      <c r="I475" s="51" t="s">
        <v>36</v>
      </c>
      <c r="J475" t="s">
        <v>66</v>
      </c>
      <c r="K475" t="s">
        <v>70</v>
      </c>
      <c r="L475">
        <v>6</v>
      </c>
      <c r="M475" t="s">
        <v>73</v>
      </c>
    </row>
    <row r="476" spans="1:13" x14ac:dyDescent="0.3">
      <c r="A476">
        <v>2022</v>
      </c>
      <c r="B476" s="50">
        <v>44720</v>
      </c>
      <c r="C476">
        <v>6</v>
      </c>
      <c r="D476" s="51" t="s">
        <v>27</v>
      </c>
      <c r="E476">
        <v>540</v>
      </c>
      <c r="F476" s="51" t="s">
        <v>42</v>
      </c>
      <c r="G476">
        <v>5</v>
      </c>
      <c r="H476">
        <v>37.5</v>
      </c>
      <c r="I476" s="51" t="s">
        <v>36</v>
      </c>
      <c r="J476" t="s">
        <v>66</v>
      </c>
      <c r="K476" t="s">
        <v>70</v>
      </c>
      <c r="L476">
        <v>6</v>
      </c>
      <c r="M476" t="s">
        <v>73</v>
      </c>
    </row>
    <row r="477" spans="1:13" x14ac:dyDescent="0.3">
      <c r="A477">
        <v>2022</v>
      </c>
      <c r="B477" s="50">
        <v>44722</v>
      </c>
      <c r="C477">
        <v>6</v>
      </c>
      <c r="D477" s="51" t="s">
        <v>27</v>
      </c>
      <c r="E477">
        <v>560</v>
      </c>
      <c r="F477" s="51" t="s">
        <v>45</v>
      </c>
      <c r="G477">
        <v>5</v>
      </c>
      <c r="H477">
        <v>40</v>
      </c>
      <c r="I477" s="51" t="s">
        <v>36</v>
      </c>
      <c r="J477" t="s">
        <v>66</v>
      </c>
      <c r="K477" t="s">
        <v>70</v>
      </c>
      <c r="L477">
        <v>6</v>
      </c>
      <c r="M477" t="s">
        <v>73</v>
      </c>
    </row>
    <row r="478" spans="1:13" x14ac:dyDescent="0.3">
      <c r="A478">
        <v>2022</v>
      </c>
      <c r="B478" s="50">
        <v>44732</v>
      </c>
      <c r="C478">
        <v>6</v>
      </c>
      <c r="D478" s="51" t="s">
        <v>27</v>
      </c>
      <c r="E478">
        <v>516</v>
      </c>
      <c r="F478" s="51" t="s">
        <v>39</v>
      </c>
      <c r="G478">
        <v>7</v>
      </c>
      <c r="H478">
        <v>31.5</v>
      </c>
      <c r="I478" s="51" t="s">
        <v>36</v>
      </c>
      <c r="J478" t="s">
        <v>66</v>
      </c>
      <c r="K478" t="s">
        <v>70</v>
      </c>
      <c r="L478">
        <v>6</v>
      </c>
      <c r="M478" t="s">
        <v>73</v>
      </c>
    </row>
    <row r="479" spans="1:13" x14ac:dyDescent="0.3">
      <c r="A479">
        <v>2022</v>
      </c>
      <c r="B479" s="50">
        <v>44732</v>
      </c>
      <c r="C479">
        <v>6</v>
      </c>
      <c r="D479" s="51" t="s">
        <v>27</v>
      </c>
      <c r="E479">
        <v>530</v>
      </c>
      <c r="F479" s="51" t="s">
        <v>41</v>
      </c>
      <c r="G479">
        <v>5</v>
      </c>
      <c r="H479">
        <v>42.5</v>
      </c>
      <c r="I479" s="51" t="s">
        <v>36</v>
      </c>
      <c r="J479" t="s">
        <v>66</v>
      </c>
      <c r="K479" t="s">
        <v>70</v>
      </c>
      <c r="L479">
        <v>6</v>
      </c>
      <c r="M479" t="s">
        <v>73</v>
      </c>
    </row>
    <row r="480" spans="1:13" x14ac:dyDescent="0.3">
      <c r="A480">
        <v>2022</v>
      </c>
      <c r="B480" s="50">
        <v>44734</v>
      </c>
      <c r="C480">
        <v>6</v>
      </c>
      <c r="D480" s="51" t="s">
        <v>27</v>
      </c>
      <c r="E480">
        <v>518</v>
      </c>
      <c r="F480" s="51" t="s">
        <v>35</v>
      </c>
      <c r="G480">
        <v>4</v>
      </c>
      <c r="H480">
        <v>16</v>
      </c>
      <c r="I480" s="51" t="s">
        <v>36</v>
      </c>
      <c r="J480" t="s">
        <v>66</v>
      </c>
      <c r="K480" t="s">
        <v>70</v>
      </c>
      <c r="L480">
        <v>6</v>
      </c>
      <c r="M480" t="s">
        <v>73</v>
      </c>
    </row>
    <row r="481" spans="1:13" x14ac:dyDescent="0.3">
      <c r="A481">
        <v>2022</v>
      </c>
      <c r="B481" s="50">
        <v>44734</v>
      </c>
      <c r="C481">
        <v>6</v>
      </c>
      <c r="D481" s="51" t="s">
        <v>27</v>
      </c>
      <c r="E481">
        <v>524</v>
      </c>
      <c r="F481" s="51" t="s">
        <v>43</v>
      </c>
      <c r="G481">
        <v>3</v>
      </c>
      <c r="H481">
        <v>6</v>
      </c>
      <c r="I481" s="51" t="s">
        <v>36</v>
      </c>
      <c r="J481" t="s">
        <v>66</v>
      </c>
      <c r="K481" t="s">
        <v>70</v>
      </c>
      <c r="L481">
        <v>6</v>
      </c>
      <c r="M481" t="s">
        <v>73</v>
      </c>
    </row>
    <row r="482" spans="1:13" x14ac:dyDescent="0.3">
      <c r="A482">
        <v>2022</v>
      </c>
      <c r="B482" s="50">
        <v>44734</v>
      </c>
      <c r="C482">
        <v>6</v>
      </c>
      <c r="D482" s="51" t="s">
        <v>27</v>
      </c>
      <c r="E482">
        <v>580</v>
      </c>
      <c r="F482" s="51" t="s">
        <v>25</v>
      </c>
      <c r="G482">
        <v>13</v>
      </c>
      <c r="H482">
        <v>104</v>
      </c>
      <c r="I482" s="51" t="s">
        <v>36</v>
      </c>
      <c r="J482" t="s">
        <v>66</v>
      </c>
      <c r="K482" t="s">
        <v>70</v>
      </c>
      <c r="L482">
        <v>6</v>
      </c>
      <c r="M482" t="s">
        <v>73</v>
      </c>
    </row>
    <row r="483" spans="1:13" x14ac:dyDescent="0.3">
      <c r="A483">
        <v>2022</v>
      </c>
      <c r="B483" s="50">
        <v>44736</v>
      </c>
      <c r="C483">
        <v>6</v>
      </c>
      <c r="D483" s="51" t="s">
        <v>27</v>
      </c>
      <c r="E483">
        <v>542</v>
      </c>
      <c r="F483" s="51" t="s">
        <v>46</v>
      </c>
      <c r="G483">
        <v>6</v>
      </c>
      <c r="H483">
        <v>60</v>
      </c>
      <c r="I483" s="51" t="s">
        <v>36</v>
      </c>
      <c r="J483" t="s">
        <v>66</v>
      </c>
      <c r="K483" t="s">
        <v>70</v>
      </c>
      <c r="L483">
        <v>6</v>
      </c>
      <c r="M483" t="s">
        <v>73</v>
      </c>
    </row>
    <row r="484" spans="1:13" x14ac:dyDescent="0.3">
      <c r="A484">
        <v>2022</v>
      </c>
      <c r="B484" s="50">
        <v>44739</v>
      </c>
      <c r="C484">
        <v>6</v>
      </c>
      <c r="D484" s="51" t="s">
        <v>27</v>
      </c>
      <c r="E484">
        <v>510</v>
      </c>
      <c r="F484" s="51" t="s">
        <v>38</v>
      </c>
      <c r="G484">
        <v>6</v>
      </c>
      <c r="H484">
        <v>36</v>
      </c>
      <c r="I484" s="51" t="s">
        <v>36</v>
      </c>
      <c r="J484" t="s">
        <v>66</v>
      </c>
      <c r="K484" t="s">
        <v>70</v>
      </c>
      <c r="L484">
        <v>6</v>
      </c>
      <c r="M484" t="s">
        <v>73</v>
      </c>
    </row>
    <row r="485" spans="1:13" x14ac:dyDescent="0.3">
      <c r="A485">
        <v>2022</v>
      </c>
      <c r="B485" s="50">
        <v>44741</v>
      </c>
      <c r="C485">
        <v>6</v>
      </c>
      <c r="D485" s="51" t="s">
        <v>27</v>
      </c>
      <c r="E485">
        <v>562</v>
      </c>
      <c r="F485" s="51" t="s">
        <v>44</v>
      </c>
      <c r="G485">
        <v>5</v>
      </c>
      <c r="H485">
        <v>25</v>
      </c>
      <c r="I485" s="51" t="s">
        <v>36</v>
      </c>
      <c r="J485" t="s">
        <v>66</v>
      </c>
      <c r="K485" t="s">
        <v>70</v>
      </c>
      <c r="L485">
        <v>6</v>
      </c>
      <c r="M485" t="s">
        <v>73</v>
      </c>
    </row>
    <row r="486" spans="1:13" x14ac:dyDescent="0.3">
      <c r="A486">
        <v>2022</v>
      </c>
      <c r="B486" s="50">
        <v>44741</v>
      </c>
      <c r="C486">
        <v>6</v>
      </c>
      <c r="D486" s="51" t="s">
        <v>27</v>
      </c>
      <c r="E486">
        <v>510</v>
      </c>
      <c r="F486" s="51" t="s">
        <v>38</v>
      </c>
      <c r="G486">
        <v>6</v>
      </c>
      <c r="H486">
        <v>36</v>
      </c>
      <c r="I486" s="51" t="s">
        <v>36</v>
      </c>
      <c r="J486" t="s">
        <v>66</v>
      </c>
      <c r="K486" t="s">
        <v>70</v>
      </c>
      <c r="L486">
        <v>6</v>
      </c>
      <c r="M486" t="s">
        <v>73</v>
      </c>
    </row>
    <row r="487" spans="1:13" x14ac:dyDescent="0.3">
      <c r="A487">
        <v>2022</v>
      </c>
      <c r="B487" s="50">
        <v>44742</v>
      </c>
      <c r="C487">
        <v>6</v>
      </c>
      <c r="D487" s="51" t="s">
        <v>27</v>
      </c>
      <c r="E487">
        <v>576</v>
      </c>
      <c r="F487" s="51" t="s">
        <v>50</v>
      </c>
      <c r="G487">
        <v>10</v>
      </c>
      <c r="H487">
        <v>125</v>
      </c>
      <c r="I487" s="51" t="s">
        <v>36</v>
      </c>
      <c r="J487" t="s">
        <v>66</v>
      </c>
      <c r="K487" t="s">
        <v>70</v>
      </c>
      <c r="L487">
        <v>6</v>
      </c>
      <c r="M487" t="s">
        <v>73</v>
      </c>
    </row>
    <row r="488" spans="1:13" x14ac:dyDescent="0.3">
      <c r="A488">
        <v>2022</v>
      </c>
      <c r="B488" s="50">
        <v>44742</v>
      </c>
      <c r="C488">
        <v>6</v>
      </c>
      <c r="D488" s="51" t="s">
        <v>27</v>
      </c>
      <c r="E488">
        <v>578</v>
      </c>
      <c r="F488" s="51" t="s">
        <v>47</v>
      </c>
      <c r="G488">
        <v>4</v>
      </c>
      <c r="H488">
        <v>62</v>
      </c>
      <c r="I488" s="51" t="s">
        <v>36</v>
      </c>
      <c r="J488" t="s">
        <v>66</v>
      </c>
      <c r="K488" t="s">
        <v>70</v>
      </c>
      <c r="L488">
        <v>6</v>
      </c>
      <c r="M488" t="s">
        <v>73</v>
      </c>
    </row>
    <row r="489" spans="1:13" x14ac:dyDescent="0.3">
      <c r="A489">
        <v>2022</v>
      </c>
      <c r="B489" s="50">
        <v>44742</v>
      </c>
      <c r="C489">
        <v>6</v>
      </c>
      <c r="D489" s="51" t="s">
        <v>27</v>
      </c>
      <c r="E489">
        <v>532</v>
      </c>
      <c r="F489" s="51" t="s">
        <v>49</v>
      </c>
      <c r="G489">
        <v>2</v>
      </c>
      <c r="H489">
        <v>20</v>
      </c>
      <c r="I489" s="51" t="s">
        <v>36</v>
      </c>
      <c r="J489" t="s">
        <v>66</v>
      </c>
      <c r="K489" t="s">
        <v>70</v>
      </c>
      <c r="L489">
        <v>6</v>
      </c>
      <c r="M489" t="s">
        <v>73</v>
      </c>
    </row>
    <row r="490" spans="1:13" x14ac:dyDescent="0.3">
      <c r="A490">
        <v>2022</v>
      </c>
      <c r="B490" s="50">
        <v>44742</v>
      </c>
      <c r="C490">
        <v>6</v>
      </c>
      <c r="D490" s="51" t="s">
        <v>27</v>
      </c>
      <c r="E490">
        <v>544</v>
      </c>
      <c r="F490" s="51" t="s">
        <v>23</v>
      </c>
      <c r="G490">
        <v>6</v>
      </c>
      <c r="H490">
        <v>90</v>
      </c>
      <c r="I490" s="51" t="s">
        <v>36</v>
      </c>
      <c r="J490" t="s">
        <v>66</v>
      </c>
      <c r="K490" t="s">
        <v>70</v>
      </c>
      <c r="L490">
        <v>6</v>
      </c>
      <c r="M490" t="s">
        <v>73</v>
      </c>
    </row>
    <row r="491" spans="1:13" x14ac:dyDescent="0.3">
      <c r="A491">
        <v>2022</v>
      </c>
      <c r="B491" s="50">
        <v>44745</v>
      </c>
      <c r="C491">
        <v>7</v>
      </c>
      <c r="D491" s="51" t="s">
        <v>28</v>
      </c>
      <c r="E491">
        <v>532</v>
      </c>
      <c r="F491" s="51" t="s">
        <v>49</v>
      </c>
      <c r="G491">
        <v>2</v>
      </c>
      <c r="H491">
        <v>20</v>
      </c>
      <c r="I491" s="51" t="s">
        <v>36</v>
      </c>
      <c r="J491" t="s">
        <v>66</v>
      </c>
      <c r="K491" t="s">
        <v>74</v>
      </c>
      <c r="L491">
        <v>7</v>
      </c>
      <c r="M491" t="s">
        <v>75</v>
      </c>
    </row>
    <row r="492" spans="1:13" x14ac:dyDescent="0.3">
      <c r="A492">
        <v>2022</v>
      </c>
      <c r="B492" s="50">
        <v>44745</v>
      </c>
      <c r="C492">
        <v>7</v>
      </c>
      <c r="D492" s="51" t="s">
        <v>28</v>
      </c>
      <c r="E492">
        <v>544</v>
      </c>
      <c r="F492" s="51" t="s">
        <v>23</v>
      </c>
      <c r="G492">
        <v>6</v>
      </c>
      <c r="H492">
        <v>90</v>
      </c>
      <c r="I492" s="51" t="s">
        <v>36</v>
      </c>
      <c r="J492" t="s">
        <v>66</v>
      </c>
      <c r="K492" t="s">
        <v>74</v>
      </c>
      <c r="L492">
        <v>7</v>
      </c>
      <c r="M492" t="s">
        <v>75</v>
      </c>
    </row>
    <row r="493" spans="1:13" x14ac:dyDescent="0.3">
      <c r="A493">
        <v>2022</v>
      </c>
      <c r="B493" s="50">
        <v>44747</v>
      </c>
      <c r="C493">
        <v>7</v>
      </c>
      <c r="D493" s="51" t="s">
        <v>28</v>
      </c>
      <c r="E493">
        <v>536</v>
      </c>
      <c r="F493" s="51" t="s">
        <v>48</v>
      </c>
      <c r="G493">
        <v>5</v>
      </c>
      <c r="H493">
        <v>25</v>
      </c>
      <c r="I493" s="51" t="s">
        <v>36</v>
      </c>
      <c r="J493" t="s">
        <v>66</v>
      </c>
      <c r="K493" t="s">
        <v>74</v>
      </c>
      <c r="L493">
        <v>7</v>
      </c>
      <c r="M493" t="s">
        <v>75</v>
      </c>
    </row>
    <row r="494" spans="1:13" x14ac:dyDescent="0.3">
      <c r="A494">
        <v>2022</v>
      </c>
      <c r="B494" s="50">
        <v>44747</v>
      </c>
      <c r="C494">
        <v>7</v>
      </c>
      <c r="D494" s="51" t="s">
        <v>28</v>
      </c>
      <c r="E494">
        <v>580</v>
      </c>
      <c r="F494" s="51" t="s">
        <v>25</v>
      </c>
      <c r="G494">
        <v>11</v>
      </c>
      <c r="H494">
        <v>88</v>
      </c>
      <c r="I494" s="51" t="s">
        <v>36</v>
      </c>
      <c r="J494" t="s">
        <v>66</v>
      </c>
      <c r="K494" t="s">
        <v>74</v>
      </c>
      <c r="L494">
        <v>7</v>
      </c>
      <c r="M494" t="s">
        <v>75</v>
      </c>
    </row>
    <row r="495" spans="1:13" x14ac:dyDescent="0.3">
      <c r="A495">
        <v>2022</v>
      </c>
      <c r="B495" s="50">
        <v>44747</v>
      </c>
      <c r="C495">
        <v>7</v>
      </c>
      <c r="D495" s="51" t="s">
        <v>28</v>
      </c>
      <c r="E495">
        <v>542</v>
      </c>
      <c r="F495" s="51" t="s">
        <v>46</v>
      </c>
      <c r="G495">
        <v>3</v>
      </c>
      <c r="H495">
        <v>30</v>
      </c>
      <c r="I495" s="51" t="s">
        <v>36</v>
      </c>
      <c r="J495" t="s">
        <v>66</v>
      </c>
      <c r="K495" t="s">
        <v>74</v>
      </c>
      <c r="L495">
        <v>7</v>
      </c>
      <c r="M495" t="s">
        <v>75</v>
      </c>
    </row>
    <row r="496" spans="1:13" x14ac:dyDescent="0.3">
      <c r="A496">
        <v>2022</v>
      </c>
      <c r="B496" s="50">
        <v>44749</v>
      </c>
      <c r="C496">
        <v>7</v>
      </c>
      <c r="D496" s="51" t="s">
        <v>28</v>
      </c>
      <c r="E496">
        <v>514</v>
      </c>
      <c r="F496" s="51" t="s">
        <v>40</v>
      </c>
      <c r="G496">
        <v>7</v>
      </c>
      <c r="H496">
        <v>45.5</v>
      </c>
      <c r="I496" s="51" t="s">
        <v>36</v>
      </c>
      <c r="J496" t="s">
        <v>66</v>
      </c>
      <c r="K496" t="s">
        <v>74</v>
      </c>
      <c r="L496">
        <v>7</v>
      </c>
      <c r="M496" t="s">
        <v>75</v>
      </c>
    </row>
    <row r="497" spans="1:13" x14ac:dyDescent="0.3">
      <c r="A497">
        <v>2022</v>
      </c>
      <c r="B497" s="50">
        <v>44749</v>
      </c>
      <c r="C497">
        <v>7</v>
      </c>
      <c r="D497" s="51" t="s">
        <v>28</v>
      </c>
      <c r="E497">
        <v>548</v>
      </c>
      <c r="F497" s="51" t="s">
        <v>37</v>
      </c>
      <c r="G497">
        <v>10</v>
      </c>
      <c r="H497">
        <v>20</v>
      </c>
      <c r="I497" s="51" t="s">
        <v>36</v>
      </c>
      <c r="J497" t="s">
        <v>66</v>
      </c>
      <c r="K497" t="s">
        <v>74</v>
      </c>
      <c r="L497">
        <v>7</v>
      </c>
      <c r="M497" t="s">
        <v>75</v>
      </c>
    </row>
    <row r="498" spans="1:13" x14ac:dyDescent="0.3">
      <c r="A498">
        <v>2022</v>
      </c>
      <c r="B498" s="50">
        <v>44752</v>
      </c>
      <c r="C498">
        <v>7</v>
      </c>
      <c r="D498" s="51" t="s">
        <v>28</v>
      </c>
      <c r="E498">
        <v>540</v>
      </c>
      <c r="F498" s="51" t="s">
        <v>42</v>
      </c>
      <c r="G498">
        <v>5</v>
      </c>
      <c r="H498">
        <v>37.5</v>
      </c>
      <c r="I498" s="51" t="s">
        <v>36</v>
      </c>
      <c r="J498" t="s">
        <v>66</v>
      </c>
      <c r="K498" t="s">
        <v>74</v>
      </c>
      <c r="L498">
        <v>7</v>
      </c>
      <c r="M498" t="s">
        <v>75</v>
      </c>
    </row>
    <row r="499" spans="1:13" x14ac:dyDescent="0.3">
      <c r="A499">
        <v>2022</v>
      </c>
      <c r="B499" s="50">
        <v>44752</v>
      </c>
      <c r="C499">
        <v>7</v>
      </c>
      <c r="D499" s="51" t="s">
        <v>28</v>
      </c>
      <c r="E499">
        <v>560</v>
      </c>
      <c r="F499" s="51" t="s">
        <v>45</v>
      </c>
      <c r="G499">
        <v>5</v>
      </c>
      <c r="H499">
        <v>40</v>
      </c>
      <c r="I499" s="51" t="s">
        <v>36</v>
      </c>
      <c r="J499" t="s">
        <v>66</v>
      </c>
      <c r="K499" t="s">
        <v>74</v>
      </c>
      <c r="L499">
        <v>7</v>
      </c>
      <c r="M499" t="s">
        <v>75</v>
      </c>
    </row>
    <row r="500" spans="1:13" x14ac:dyDescent="0.3">
      <c r="A500">
        <v>2022</v>
      </c>
      <c r="B500" s="50">
        <v>44754</v>
      </c>
      <c r="C500">
        <v>7</v>
      </c>
      <c r="D500" s="51" t="s">
        <v>28</v>
      </c>
      <c r="E500">
        <v>516</v>
      </c>
      <c r="F500" s="51" t="s">
        <v>39</v>
      </c>
      <c r="G500">
        <v>7</v>
      </c>
      <c r="H500">
        <v>31.5</v>
      </c>
      <c r="I500" s="51" t="s">
        <v>36</v>
      </c>
      <c r="J500" t="s">
        <v>66</v>
      </c>
      <c r="K500" t="s">
        <v>74</v>
      </c>
      <c r="L500">
        <v>7</v>
      </c>
      <c r="M500" t="s">
        <v>75</v>
      </c>
    </row>
    <row r="501" spans="1:13" x14ac:dyDescent="0.3">
      <c r="A501">
        <v>2022</v>
      </c>
      <c r="B501" s="50">
        <v>44754</v>
      </c>
      <c r="C501">
        <v>7</v>
      </c>
      <c r="D501" s="51" t="s">
        <v>28</v>
      </c>
      <c r="E501">
        <v>530</v>
      </c>
      <c r="F501" s="51" t="s">
        <v>41</v>
      </c>
      <c r="G501">
        <v>5</v>
      </c>
      <c r="H501">
        <v>42.5</v>
      </c>
      <c r="I501" s="51" t="s">
        <v>36</v>
      </c>
      <c r="J501" t="s">
        <v>66</v>
      </c>
      <c r="K501" t="s">
        <v>74</v>
      </c>
      <c r="L501">
        <v>7</v>
      </c>
      <c r="M501" t="s">
        <v>75</v>
      </c>
    </row>
    <row r="502" spans="1:13" x14ac:dyDescent="0.3">
      <c r="A502">
        <v>2022</v>
      </c>
      <c r="B502" s="50">
        <v>44756</v>
      </c>
      <c r="C502">
        <v>7</v>
      </c>
      <c r="D502" s="51" t="s">
        <v>28</v>
      </c>
      <c r="E502">
        <v>518</v>
      </c>
      <c r="F502" s="51" t="s">
        <v>35</v>
      </c>
      <c r="G502">
        <v>4</v>
      </c>
      <c r="H502">
        <v>16</v>
      </c>
      <c r="I502" s="51" t="s">
        <v>36</v>
      </c>
      <c r="J502" t="s">
        <v>66</v>
      </c>
      <c r="K502" t="s">
        <v>74</v>
      </c>
      <c r="L502">
        <v>7</v>
      </c>
      <c r="M502" t="s">
        <v>75</v>
      </c>
    </row>
    <row r="503" spans="1:13" x14ac:dyDescent="0.3">
      <c r="A503">
        <v>2022</v>
      </c>
      <c r="B503" s="50">
        <v>44756</v>
      </c>
      <c r="C503">
        <v>7</v>
      </c>
      <c r="D503" s="51" t="s">
        <v>28</v>
      </c>
      <c r="E503">
        <v>524</v>
      </c>
      <c r="F503" s="51" t="s">
        <v>43</v>
      </c>
      <c r="G503">
        <v>3</v>
      </c>
      <c r="H503">
        <v>6</v>
      </c>
      <c r="I503" s="51" t="s">
        <v>36</v>
      </c>
      <c r="J503" t="s">
        <v>66</v>
      </c>
      <c r="K503" t="s">
        <v>74</v>
      </c>
      <c r="L503">
        <v>7</v>
      </c>
      <c r="M503" t="s">
        <v>75</v>
      </c>
    </row>
    <row r="504" spans="1:13" x14ac:dyDescent="0.3">
      <c r="A504">
        <v>2022</v>
      </c>
      <c r="B504" s="50">
        <v>44766</v>
      </c>
      <c r="C504">
        <v>7</v>
      </c>
      <c r="D504" s="51" t="s">
        <v>28</v>
      </c>
      <c r="E504">
        <v>542</v>
      </c>
      <c r="F504" s="51" t="s">
        <v>46</v>
      </c>
      <c r="G504">
        <v>6</v>
      </c>
      <c r="H504">
        <v>60</v>
      </c>
      <c r="I504" s="51" t="s">
        <v>36</v>
      </c>
      <c r="J504" t="s">
        <v>66</v>
      </c>
      <c r="K504" t="s">
        <v>74</v>
      </c>
      <c r="L504">
        <v>7</v>
      </c>
      <c r="M504" t="s">
        <v>75</v>
      </c>
    </row>
    <row r="505" spans="1:13" x14ac:dyDescent="0.3">
      <c r="A505">
        <v>2022</v>
      </c>
      <c r="B505" s="50">
        <v>44768</v>
      </c>
      <c r="C505">
        <v>7</v>
      </c>
      <c r="D505" s="51" t="s">
        <v>28</v>
      </c>
      <c r="E505">
        <v>510</v>
      </c>
      <c r="F505" s="51" t="s">
        <v>38</v>
      </c>
      <c r="G505">
        <v>6</v>
      </c>
      <c r="H505">
        <v>36</v>
      </c>
      <c r="I505" s="51" t="s">
        <v>36</v>
      </c>
      <c r="J505" t="s">
        <v>66</v>
      </c>
      <c r="K505" t="s">
        <v>74</v>
      </c>
      <c r="L505">
        <v>7</v>
      </c>
      <c r="M505" t="s">
        <v>75</v>
      </c>
    </row>
    <row r="506" spans="1:13" x14ac:dyDescent="0.3">
      <c r="A506">
        <v>2022</v>
      </c>
      <c r="B506" s="50">
        <v>44770</v>
      </c>
      <c r="C506">
        <v>7</v>
      </c>
      <c r="D506" s="51" t="s">
        <v>28</v>
      </c>
      <c r="E506">
        <v>562</v>
      </c>
      <c r="F506" s="51" t="s">
        <v>44</v>
      </c>
      <c r="G506">
        <v>5</v>
      </c>
      <c r="H506">
        <v>25</v>
      </c>
      <c r="I506" s="51" t="s">
        <v>36</v>
      </c>
      <c r="J506" t="s">
        <v>66</v>
      </c>
      <c r="K506" t="s">
        <v>74</v>
      </c>
      <c r="L506">
        <v>7</v>
      </c>
      <c r="M506" t="s">
        <v>75</v>
      </c>
    </row>
    <row r="507" spans="1:13" x14ac:dyDescent="0.3">
      <c r="A507">
        <v>2022</v>
      </c>
      <c r="B507" s="50">
        <v>44770</v>
      </c>
      <c r="C507">
        <v>7</v>
      </c>
      <c r="D507" s="51" t="s">
        <v>28</v>
      </c>
      <c r="E507">
        <v>510</v>
      </c>
      <c r="F507" s="51" t="s">
        <v>38</v>
      </c>
      <c r="G507">
        <v>6</v>
      </c>
      <c r="H507">
        <v>36</v>
      </c>
      <c r="I507" s="51" t="s">
        <v>36</v>
      </c>
      <c r="J507" t="s">
        <v>66</v>
      </c>
      <c r="K507" t="s">
        <v>74</v>
      </c>
      <c r="L507">
        <v>7</v>
      </c>
      <c r="M507" t="s">
        <v>75</v>
      </c>
    </row>
    <row r="508" spans="1:13" x14ac:dyDescent="0.3">
      <c r="A508">
        <v>2022</v>
      </c>
      <c r="B508" s="50">
        <v>44747</v>
      </c>
      <c r="C508">
        <v>7</v>
      </c>
      <c r="D508" s="51" t="s">
        <v>28</v>
      </c>
      <c r="E508">
        <v>580</v>
      </c>
      <c r="F508" s="51" t="s">
        <v>25</v>
      </c>
      <c r="G508">
        <v>12</v>
      </c>
      <c r="H508">
        <v>96</v>
      </c>
      <c r="I508" s="51" t="s">
        <v>36</v>
      </c>
      <c r="J508" t="s">
        <v>66</v>
      </c>
      <c r="K508" t="s">
        <v>74</v>
      </c>
      <c r="L508">
        <v>7</v>
      </c>
      <c r="M508" t="s">
        <v>75</v>
      </c>
    </row>
    <row r="509" spans="1:13" x14ac:dyDescent="0.3">
      <c r="A509">
        <v>2022</v>
      </c>
      <c r="B509" s="50">
        <v>44771</v>
      </c>
      <c r="C509">
        <v>7</v>
      </c>
      <c r="D509" s="51" t="s">
        <v>28</v>
      </c>
      <c r="E509">
        <v>532</v>
      </c>
      <c r="F509" s="51" t="s">
        <v>49</v>
      </c>
      <c r="G509">
        <v>2</v>
      </c>
      <c r="H509">
        <v>20</v>
      </c>
      <c r="I509" s="51" t="s">
        <v>36</v>
      </c>
      <c r="J509" t="s">
        <v>66</v>
      </c>
      <c r="K509" t="s">
        <v>74</v>
      </c>
      <c r="L509">
        <v>7</v>
      </c>
      <c r="M509" t="s">
        <v>75</v>
      </c>
    </row>
    <row r="510" spans="1:13" x14ac:dyDescent="0.3">
      <c r="A510">
        <v>2022</v>
      </c>
      <c r="B510" s="50">
        <v>44771</v>
      </c>
      <c r="C510">
        <v>7</v>
      </c>
      <c r="D510" s="51" t="s">
        <v>28</v>
      </c>
      <c r="E510">
        <v>544</v>
      </c>
      <c r="F510" s="51" t="s">
        <v>23</v>
      </c>
      <c r="G510">
        <v>6</v>
      </c>
      <c r="H510">
        <v>90</v>
      </c>
      <c r="I510" s="51" t="s">
        <v>36</v>
      </c>
      <c r="J510" t="s">
        <v>66</v>
      </c>
      <c r="K510" t="s">
        <v>74</v>
      </c>
      <c r="L510">
        <v>7</v>
      </c>
      <c r="M510" t="s">
        <v>75</v>
      </c>
    </row>
    <row r="511" spans="1:13" x14ac:dyDescent="0.3">
      <c r="A511">
        <v>2022</v>
      </c>
      <c r="B511" s="50">
        <v>44771</v>
      </c>
      <c r="C511">
        <v>7</v>
      </c>
      <c r="D511" s="51" t="s">
        <v>28</v>
      </c>
      <c r="E511">
        <v>536</v>
      </c>
      <c r="F511" s="51" t="s">
        <v>48</v>
      </c>
      <c r="G511">
        <v>5</v>
      </c>
      <c r="H511">
        <v>25</v>
      </c>
      <c r="I511" s="51" t="s">
        <v>36</v>
      </c>
      <c r="J511" t="s">
        <v>66</v>
      </c>
      <c r="K511" t="s">
        <v>74</v>
      </c>
      <c r="L511">
        <v>7</v>
      </c>
      <c r="M511" t="s">
        <v>75</v>
      </c>
    </row>
    <row r="512" spans="1:13" x14ac:dyDescent="0.3">
      <c r="A512">
        <v>2022</v>
      </c>
      <c r="B512" s="50">
        <v>44771</v>
      </c>
      <c r="C512">
        <v>7</v>
      </c>
      <c r="D512" s="51" t="s">
        <v>28</v>
      </c>
      <c r="E512">
        <v>542</v>
      </c>
      <c r="F512" s="51" t="s">
        <v>46</v>
      </c>
      <c r="G512">
        <v>3</v>
      </c>
      <c r="H512">
        <v>30</v>
      </c>
      <c r="I512" s="51" t="s">
        <v>36</v>
      </c>
      <c r="J512" t="s">
        <v>66</v>
      </c>
      <c r="K512" t="s">
        <v>74</v>
      </c>
      <c r="L512">
        <v>7</v>
      </c>
      <c r="M512" t="s">
        <v>75</v>
      </c>
    </row>
    <row r="513" spans="1:13" x14ac:dyDescent="0.3">
      <c r="A513">
        <v>2022</v>
      </c>
      <c r="B513" s="50">
        <v>44774</v>
      </c>
      <c r="C513">
        <v>8</v>
      </c>
      <c r="D513" s="51" t="s">
        <v>29</v>
      </c>
      <c r="E513">
        <v>532</v>
      </c>
      <c r="F513" s="51" t="s">
        <v>49</v>
      </c>
      <c r="G513">
        <v>2</v>
      </c>
      <c r="H513">
        <v>20</v>
      </c>
      <c r="I513" s="51" t="s">
        <v>36</v>
      </c>
      <c r="J513" t="s">
        <v>66</v>
      </c>
      <c r="K513" t="s">
        <v>74</v>
      </c>
      <c r="L513">
        <v>8</v>
      </c>
      <c r="M513" t="s">
        <v>76</v>
      </c>
    </row>
    <row r="514" spans="1:13" x14ac:dyDescent="0.3">
      <c r="A514">
        <v>2022</v>
      </c>
      <c r="B514" s="50">
        <v>44774</v>
      </c>
      <c r="C514">
        <v>8</v>
      </c>
      <c r="D514" s="51" t="s">
        <v>29</v>
      </c>
      <c r="E514">
        <v>544</v>
      </c>
      <c r="F514" s="51" t="s">
        <v>23</v>
      </c>
      <c r="G514">
        <v>6</v>
      </c>
      <c r="H514">
        <v>90</v>
      </c>
      <c r="I514" s="51" t="s">
        <v>36</v>
      </c>
      <c r="J514" t="s">
        <v>66</v>
      </c>
      <c r="K514" t="s">
        <v>74</v>
      </c>
      <c r="L514">
        <v>8</v>
      </c>
      <c r="M514" t="s">
        <v>76</v>
      </c>
    </row>
    <row r="515" spans="1:13" x14ac:dyDescent="0.3">
      <c r="A515">
        <v>2022</v>
      </c>
      <c r="B515" s="50">
        <v>44776</v>
      </c>
      <c r="C515">
        <v>8</v>
      </c>
      <c r="D515" s="51" t="s">
        <v>29</v>
      </c>
      <c r="E515">
        <v>536</v>
      </c>
      <c r="F515" s="51" t="s">
        <v>48</v>
      </c>
      <c r="G515">
        <v>5</v>
      </c>
      <c r="H515">
        <v>25</v>
      </c>
      <c r="I515" s="51" t="s">
        <v>36</v>
      </c>
      <c r="J515" t="s">
        <v>66</v>
      </c>
      <c r="K515" t="s">
        <v>74</v>
      </c>
      <c r="L515">
        <v>8</v>
      </c>
      <c r="M515" t="s">
        <v>76</v>
      </c>
    </row>
    <row r="516" spans="1:13" x14ac:dyDescent="0.3">
      <c r="A516">
        <v>2022</v>
      </c>
      <c r="B516" s="50">
        <v>44776</v>
      </c>
      <c r="C516">
        <v>8</v>
      </c>
      <c r="D516" s="51" t="s">
        <v>29</v>
      </c>
      <c r="E516">
        <v>542</v>
      </c>
      <c r="F516" s="51" t="s">
        <v>46</v>
      </c>
      <c r="G516">
        <v>3</v>
      </c>
      <c r="H516">
        <v>30</v>
      </c>
      <c r="I516" s="51" t="s">
        <v>36</v>
      </c>
      <c r="J516" t="s">
        <v>66</v>
      </c>
      <c r="K516" t="s">
        <v>74</v>
      </c>
      <c r="L516">
        <v>8</v>
      </c>
      <c r="M516" t="s">
        <v>76</v>
      </c>
    </row>
    <row r="517" spans="1:13" x14ac:dyDescent="0.3">
      <c r="A517">
        <v>2022</v>
      </c>
      <c r="B517" s="50">
        <v>44778</v>
      </c>
      <c r="C517">
        <v>8</v>
      </c>
      <c r="D517" s="51" t="s">
        <v>29</v>
      </c>
      <c r="E517">
        <v>514</v>
      </c>
      <c r="F517" s="51" t="s">
        <v>40</v>
      </c>
      <c r="G517">
        <v>7</v>
      </c>
      <c r="H517">
        <v>45.5</v>
      </c>
      <c r="I517" s="51" t="s">
        <v>36</v>
      </c>
      <c r="J517" t="s">
        <v>66</v>
      </c>
      <c r="K517" t="s">
        <v>74</v>
      </c>
      <c r="L517">
        <v>8</v>
      </c>
      <c r="M517" t="s">
        <v>76</v>
      </c>
    </row>
    <row r="518" spans="1:13" x14ac:dyDescent="0.3">
      <c r="A518">
        <v>2022</v>
      </c>
      <c r="B518" s="50">
        <v>44778</v>
      </c>
      <c r="C518">
        <v>8</v>
      </c>
      <c r="D518" s="51" t="s">
        <v>29</v>
      </c>
      <c r="E518">
        <v>548</v>
      </c>
      <c r="F518" s="51" t="s">
        <v>37</v>
      </c>
      <c r="G518">
        <v>10</v>
      </c>
      <c r="H518">
        <v>20</v>
      </c>
      <c r="I518" s="51" t="s">
        <v>36</v>
      </c>
      <c r="J518" t="s">
        <v>66</v>
      </c>
      <c r="K518" t="s">
        <v>74</v>
      </c>
      <c r="L518">
        <v>8</v>
      </c>
      <c r="M518" t="s">
        <v>76</v>
      </c>
    </row>
    <row r="519" spans="1:13" x14ac:dyDescent="0.3">
      <c r="A519">
        <v>2022</v>
      </c>
      <c r="B519" s="50">
        <v>44778</v>
      </c>
      <c r="C519">
        <v>8</v>
      </c>
      <c r="D519" s="51" t="s">
        <v>29</v>
      </c>
      <c r="E519">
        <v>580</v>
      </c>
      <c r="F519" s="51" t="s">
        <v>25</v>
      </c>
      <c r="G519">
        <v>15</v>
      </c>
      <c r="H519">
        <v>120</v>
      </c>
      <c r="I519" s="51" t="s">
        <v>36</v>
      </c>
      <c r="J519" t="s">
        <v>66</v>
      </c>
      <c r="K519" t="s">
        <v>74</v>
      </c>
      <c r="L519">
        <v>8</v>
      </c>
      <c r="M519" t="s">
        <v>76</v>
      </c>
    </row>
    <row r="520" spans="1:13" x14ac:dyDescent="0.3">
      <c r="A520">
        <v>2022</v>
      </c>
      <c r="B520" s="50">
        <v>44781</v>
      </c>
      <c r="C520">
        <v>8</v>
      </c>
      <c r="D520" s="51" t="s">
        <v>29</v>
      </c>
      <c r="E520">
        <v>540</v>
      </c>
      <c r="F520" s="51" t="s">
        <v>42</v>
      </c>
      <c r="G520">
        <v>5</v>
      </c>
      <c r="H520">
        <v>37.5</v>
      </c>
      <c r="I520" s="51" t="s">
        <v>36</v>
      </c>
      <c r="J520" t="s">
        <v>66</v>
      </c>
      <c r="K520" t="s">
        <v>74</v>
      </c>
      <c r="L520">
        <v>8</v>
      </c>
      <c r="M520" t="s">
        <v>76</v>
      </c>
    </row>
    <row r="521" spans="1:13" x14ac:dyDescent="0.3">
      <c r="A521">
        <v>2022</v>
      </c>
      <c r="B521" s="50">
        <v>44781</v>
      </c>
      <c r="C521">
        <v>8</v>
      </c>
      <c r="D521" s="51" t="s">
        <v>29</v>
      </c>
      <c r="E521">
        <v>560</v>
      </c>
      <c r="F521" s="51" t="s">
        <v>45</v>
      </c>
      <c r="G521">
        <v>5</v>
      </c>
      <c r="H521">
        <v>40</v>
      </c>
      <c r="I521" s="51" t="s">
        <v>36</v>
      </c>
      <c r="J521" t="s">
        <v>66</v>
      </c>
      <c r="K521" t="s">
        <v>74</v>
      </c>
      <c r="L521">
        <v>8</v>
      </c>
      <c r="M521" t="s">
        <v>76</v>
      </c>
    </row>
    <row r="522" spans="1:13" x14ac:dyDescent="0.3">
      <c r="A522">
        <v>2022</v>
      </c>
      <c r="B522" s="50">
        <v>44783</v>
      </c>
      <c r="C522">
        <v>8</v>
      </c>
      <c r="D522" s="51" t="s">
        <v>29</v>
      </c>
      <c r="E522">
        <v>516</v>
      </c>
      <c r="F522" s="51" t="s">
        <v>39</v>
      </c>
      <c r="G522">
        <v>7</v>
      </c>
      <c r="H522">
        <v>31.5</v>
      </c>
      <c r="I522" s="51" t="s">
        <v>36</v>
      </c>
      <c r="J522" t="s">
        <v>66</v>
      </c>
      <c r="K522" t="s">
        <v>74</v>
      </c>
      <c r="L522">
        <v>8</v>
      </c>
      <c r="M522" t="s">
        <v>76</v>
      </c>
    </row>
    <row r="523" spans="1:13" x14ac:dyDescent="0.3">
      <c r="A523">
        <v>2022</v>
      </c>
      <c r="B523" s="50">
        <v>44783</v>
      </c>
      <c r="C523">
        <v>8</v>
      </c>
      <c r="D523" s="51" t="s">
        <v>29</v>
      </c>
      <c r="E523">
        <v>530</v>
      </c>
      <c r="F523" s="51" t="s">
        <v>41</v>
      </c>
      <c r="G523">
        <v>5</v>
      </c>
      <c r="H523">
        <v>42.5</v>
      </c>
      <c r="I523" s="51" t="s">
        <v>36</v>
      </c>
      <c r="J523" t="s">
        <v>66</v>
      </c>
      <c r="K523" t="s">
        <v>74</v>
      </c>
      <c r="L523">
        <v>8</v>
      </c>
      <c r="M523" t="s">
        <v>76</v>
      </c>
    </row>
    <row r="524" spans="1:13" x14ac:dyDescent="0.3">
      <c r="A524">
        <v>2022</v>
      </c>
      <c r="B524" s="50">
        <v>44785</v>
      </c>
      <c r="C524">
        <v>8</v>
      </c>
      <c r="D524" s="51" t="s">
        <v>29</v>
      </c>
      <c r="E524">
        <v>518</v>
      </c>
      <c r="F524" s="51" t="s">
        <v>35</v>
      </c>
      <c r="G524">
        <v>4</v>
      </c>
      <c r="H524">
        <v>16</v>
      </c>
      <c r="I524" s="51" t="s">
        <v>36</v>
      </c>
      <c r="J524" t="s">
        <v>66</v>
      </c>
      <c r="K524" t="s">
        <v>74</v>
      </c>
      <c r="L524">
        <v>8</v>
      </c>
      <c r="M524" t="s">
        <v>76</v>
      </c>
    </row>
    <row r="525" spans="1:13" x14ac:dyDescent="0.3">
      <c r="A525">
        <v>2022</v>
      </c>
      <c r="B525" s="50">
        <v>44785</v>
      </c>
      <c r="C525">
        <v>8</v>
      </c>
      <c r="D525" s="51" t="s">
        <v>29</v>
      </c>
      <c r="E525">
        <v>524</v>
      </c>
      <c r="F525" s="51" t="s">
        <v>43</v>
      </c>
      <c r="G525">
        <v>3</v>
      </c>
      <c r="H525">
        <v>6</v>
      </c>
      <c r="I525" s="51" t="s">
        <v>36</v>
      </c>
      <c r="J525" t="s">
        <v>66</v>
      </c>
      <c r="K525" t="s">
        <v>74</v>
      </c>
      <c r="L525">
        <v>8</v>
      </c>
      <c r="M525" t="s">
        <v>76</v>
      </c>
    </row>
    <row r="526" spans="1:13" x14ac:dyDescent="0.3">
      <c r="A526">
        <v>2022</v>
      </c>
      <c r="B526" s="50">
        <v>44795</v>
      </c>
      <c r="C526">
        <v>8</v>
      </c>
      <c r="D526" s="51" t="s">
        <v>29</v>
      </c>
      <c r="E526">
        <v>542</v>
      </c>
      <c r="F526" s="51" t="s">
        <v>46</v>
      </c>
      <c r="G526">
        <v>6</v>
      </c>
      <c r="H526">
        <v>60</v>
      </c>
      <c r="I526" s="51" t="s">
        <v>36</v>
      </c>
      <c r="J526" t="s">
        <v>66</v>
      </c>
      <c r="K526" t="s">
        <v>74</v>
      </c>
      <c r="L526">
        <v>8</v>
      </c>
      <c r="M526" t="s">
        <v>76</v>
      </c>
    </row>
    <row r="527" spans="1:13" x14ac:dyDescent="0.3">
      <c r="A527">
        <v>2022</v>
      </c>
      <c r="B527" s="50">
        <v>44796</v>
      </c>
      <c r="C527">
        <v>8</v>
      </c>
      <c r="D527" s="51" t="s">
        <v>29</v>
      </c>
      <c r="E527">
        <v>510</v>
      </c>
      <c r="F527" s="51" t="s">
        <v>38</v>
      </c>
      <c r="G527">
        <v>6</v>
      </c>
      <c r="H527">
        <v>36</v>
      </c>
      <c r="I527" s="51" t="s">
        <v>36</v>
      </c>
      <c r="J527" t="s">
        <v>66</v>
      </c>
      <c r="K527" t="s">
        <v>74</v>
      </c>
      <c r="L527">
        <v>8</v>
      </c>
      <c r="M527" t="s">
        <v>76</v>
      </c>
    </row>
    <row r="528" spans="1:13" x14ac:dyDescent="0.3">
      <c r="A528">
        <v>2022</v>
      </c>
      <c r="B528" s="50">
        <v>44796</v>
      </c>
      <c r="C528">
        <v>8</v>
      </c>
      <c r="D528" s="51" t="s">
        <v>29</v>
      </c>
      <c r="E528">
        <v>532</v>
      </c>
      <c r="F528" s="51" t="s">
        <v>49</v>
      </c>
      <c r="G528">
        <v>2</v>
      </c>
      <c r="H528">
        <v>20</v>
      </c>
      <c r="I528" s="51" t="s">
        <v>36</v>
      </c>
      <c r="J528" t="s">
        <v>66</v>
      </c>
      <c r="K528" t="s">
        <v>74</v>
      </c>
      <c r="L528">
        <v>8</v>
      </c>
      <c r="M528" t="s">
        <v>76</v>
      </c>
    </row>
    <row r="529" spans="1:13" x14ac:dyDescent="0.3">
      <c r="A529">
        <v>2022</v>
      </c>
      <c r="B529" s="50">
        <v>44796</v>
      </c>
      <c r="C529">
        <v>8</v>
      </c>
      <c r="D529" s="51" t="s">
        <v>29</v>
      </c>
      <c r="E529">
        <v>544</v>
      </c>
      <c r="F529" s="51" t="s">
        <v>23</v>
      </c>
      <c r="G529">
        <v>6</v>
      </c>
      <c r="H529">
        <v>90</v>
      </c>
      <c r="I529" s="51" t="s">
        <v>36</v>
      </c>
      <c r="J529" t="s">
        <v>66</v>
      </c>
      <c r="K529" t="s">
        <v>74</v>
      </c>
      <c r="L529">
        <v>8</v>
      </c>
      <c r="M529" t="s">
        <v>76</v>
      </c>
    </row>
    <row r="530" spans="1:13" x14ac:dyDescent="0.3">
      <c r="A530">
        <v>2022</v>
      </c>
      <c r="B530" s="50">
        <v>44796</v>
      </c>
      <c r="C530">
        <v>8</v>
      </c>
      <c r="D530" s="51" t="s">
        <v>29</v>
      </c>
      <c r="E530">
        <v>536</v>
      </c>
      <c r="F530" s="51" t="s">
        <v>48</v>
      </c>
      <c r="G530">
        <v>5</v>
      </c>
      <c r="H530">
        <v>25</v>
      </c>
      <c r="I530" s="51" t="s">
        <v>36</v>
      </c>
      <c r="J530" t="s">
        <v>66</v>
      </c>
      <c r="K530" t="s">
        <v>74</v>
      </c>
      <c r="L530">
        <v>8</v>
      </c>
      <c r="M530" t="s">
        <v>76</v>
      </c>
    </row>
    <row r="531" spans="1:13" x14ac:dyDescent="0.3">
      <c r="A531">
        <v>2022</v>
      </c>
      <c r="B531" s="50">
        <v>44796</v>
      </c>
      <c r="C531">
        <v>8</v>
      </c>
      <c r="D531" s="51" t="s">
        <v>29</v>
      </c>
      <c r="E531">
        <v>542</v>
      </c>
      <c r="F531" s="51" t="s">
        <v>46</v>
      </c>
      <c r="G531">
        <v>3</v>
      </c>
      <c r="H531">
        <v>30</v>
      </c>
      <c r="I531" s="51" t="s">
        <v>36</v>
      </c>
      <c r="J531" t="s">
        <v>66</v>
      </c>
      <c r="K531" t="s">
        <v>74</v>
      </c>
      <c r="L531">
        <v>8</v>
      </c>
      <c r="M531" t="s">
        <v>76</v>
      </c>
    </row>
    <row r="532" spans="1:13" x14ac:dyDescent="0.3">
      <c r="A532">
        <v>2022</v>
      </c>
      <c r="B532" s="50">
        <v>44797</v>
      </c>
      <c r="C532">
        <v>8</v>
      </c>
      <c r="D532" s="51" t="s">
        <v>29</v>
      </c>
      <c r="E532">
        <v>510</v>
      </c>
      <c r="F532" s="51" t="s">
        <v>38</v>
      </c>
      <c r="G532">
        <v>6</v>
      </c>
      <c r="H532">
        <v>36</v>
      </c>
      <c r="I532" s="51" t="s">
        <v>36</v>
      </c>
      <c r="J532" t="s">
        <v>66</v>
      </c>
      <c r="K532" t="s">
        <v>74</v>
      </c>
      <c r="L532">
        <v>8</v>
      </c>
      <c r="M532" t="s">
        <v>76</v>
      </c>
    </row>
    <row r="533" spans="1:13" x14ac:dyDescent="0.3">
      <c r="A533">
        <v>2022</v>
      </c>
      <c r="B533" s="50">
        <v>44797</v>
      </c>
      <c r="C533">
        <v>8</v>
      </c>
      <c r="D533" s="51" t="s">
        <v>29</v>
      </c>
      <c r="E533">
        <v>580</v>
      </c>
      <c r="F533" s="51" t="s">
        <v>25</v>
      </c>
      <c r="G533">
        <v>12</v>
      </c>
      <c r="H533">
        <v>96</v>
      </c>
      <c r="I533" s="51" t="s">
        <v>36</v>
      </c>
      <c r="J533" t="s">
        <v>66</v>
      </c>
      <c r="K533" t="s">
        <v>74</v>
      </c>
      <c r="L533">
        <v>8</v>
      </c>
      <c r="M533" t="s">
        <v>76</v>
      </c>
    </row>
    <row r="534" spans="1:13" x14ac:dyDescent="0.3">
      <c r="A534">
        <v>2022</v>
      </c>
      <c r="B534" s="50">
        <v>44799</v>
      </c>
      <c r="C534">
        <v>8</v>
      </c>
      <c r="D534" s="51" t="s">
        <v>29</v>
      </c>
      <c r="E534">
        <v>562</v>
      </c>
      <c r="F534" s="51" t="s">
        <v>44</v>
      </c>
      <c r="G534">
        <v>5</v>
      </c>
      <c r="H534">
        <v>25</v>
      </c>
      <c r="I534" s="51" t="s">
        <v>36</v>
      </c>
      <c r="J534" t="s">
        <v>66</v>
      </c>
      <c r="K534" t="s">
        <v>74</v>
      </c>
      <c r="L534">
        <v>8</v>
      </c>
      <c r="M534" t="s">
        <v>76</v>
      </c>
    </row>
    <row r="535" spans="1:13" x14ac:dyDescent="0.3">
      <c r="A535">
        <v>2022</v>
      </c>
      <c r="B535" s="50">
        <v>44799</v>
      </c>
      <c r="C535">
        <v>8</v>
      </c>
      <c r="D535" s="51" t="s">
        <v>29</v>
      </c>
      <c r="E535">
        <v>510</v>
      </c>
      <c r="F535" s="51" t="s">
        <v>38</v>
      </c>
      <c r="G535">
        <v>6</v>
      </c>
      <c r="H535">
        <v>36</v>
      </c>
      <c r="I535" s="51" t="s">
        <v>36</v>
      </c>
      <c r="J535" t="s">
        <v>66</v>
      </c>
      <c r="K535" t="s">
        <v>74</v>
      </c>
      <c r="L535">
        <v>8</v>
      </c>
      <c r="M535" t="s">
        <v>76</v>
      </c>
    </row>
    <row r="536" spans="1:13" x14ac:dyDescent="0.3">
      <c r="A536">
        <v>2022</v>
      </c>
      <c r="B536" s="50">
        <v>44809</v>
      </c>
      <c r="C536">
        <v>9</v>
      </c>
      <c r="D536" s="51" t="s">
        <v>30</v>
      </c>
      <c r="E536">
        <v>532</v>
      </c>
      <c r="F536" s="51" t="s">
        <v>49</v>
      </c>
      <c r="G536">
        <v>2</v>
      </c>
      <c r="H536">
        <v>20</v>
      </c>
      <c r="I536" s="51" t="s">
        <v>36</v>
      </c>
      <c r="J536" t="s">
        <v>66</v>
      </c>
      <c r="K536" t="s">
        <v>74</v>
      </c>
      <c r="L536">
        <v>9</v>
      </c>
      <c r="M536" t="s">
        <v>77</v>
      </c>
    </row>
    <row r="537" spans="1:13" x14ac:dyDescent="0.3">
      <c r="A537">
        <v>2022</v>
      </c>
      <c r="B537" s="50">
        <v>44809</v>
      </c>
      <c r="C537">
        <v>9</v>
      </c>
      <c r="D537" s="51" t="s">
        <v>30</v>
      </c>
      <c r="E537">
        <v>544</v>
      </c>
      <c r="F537" s="51" t="s">
        <v>23</v>
      </c>
      <c r="G537">
        <v>6</v>
      </c>
      <c r="H537">
        <v>90</v>
      </c>
      <c r="I537" s="51" t="s">
        <v>36</v>
      </c>
      <c r="J537" t="s">
        <v>66</v>
      </c>
      <c r="K537" t="s">
        <v>74</v>
      </c>
      <c r="L537">
        <v>9</v>
      </c>
      <c r="M537" t="s">
        <v>77</v>
      </c>
    </row>
    <row r="538" spans="1:13" x14ac:dyDescent="0.3">
      <c r="A538">
        <v>2022</v>
      </c>
      <c r="B538" s="50">
        <v>44811</v>
      </c>
      <c r="C538">
        <v>9</v>
      </c>
      <c r="D538" s="51" t="s">
        <v>30</v>
      </c>
      <c r="E538">
        <v>536</v>
      </c>
      <c r="F538" s="51" t="s">
        <v>48</v>
      </c>
      <c r="G538">
        <v>5</v>
      </c>
      <c r="H538">
        <v>25</v>
      </c>
      <c r="I538" s="51" t="s">
        <v>36</v>
      </c>
      <c r="J538" t="s">
        <v>66</v>
      </c>
      <c r="K538" t="s">
        <v>74</v>
      </c>
      <c r="L538">
        <v>9</v>
      </c>
      <c r="M538" t="s">
        <v>77</v>
      </c>
    </row>
    <row r="539" spans="1:13" x14ac:dyDescent="0.3">
      <c r="A539">
        <v>2022</v>
      </c>
      <c r="B539" s="50">
        <v>44811</v>
      </c>
      <c r="C539">
        <v>9</v>
      </c>
      <c r="D539" s="51" t="s">
        <v>30</v>
      </c>
      <c r="E539">
        <v>542</v>
      </c>
      <c r="F539" s="51" t="s">
        <v>46</v>
      </c>
      <c r="G539">
        <v>3</v>
      </c>
      <c r="H539">
        <v>30</v>
      </c>
      <c r="I539" s="51" t="s">
        <v>36</v>
      </c>
      <c r="J539" t="s">
        <v>66</v>
      </c>
      <c r="K539" t="s">
        <v>74</v>
      </c>
      <c r="L539">
        <v>9</v>
      </c>
      <c r="M539" t="s">
        <v>77</v>
      </c>
    </row>
    <row r="540" spans="1:13" x14ac:dyDescent="0.3">
      <c r="A540">
        <v>2022</v>
      </c>
      <c r="B540" s="50">
        <v>44813</v>
      </c>
      <c r="C540">
        <v>9</v>
      </c>
      <c r="D540" s="51" t="s">
        <v>30</v>
      </c>
      <c r="E540">
        <v>514</v>
      </c>
      <c r="F540" s="51" t="s">
        <v>40</v>
      </c>
      <c r="G540">
        <v>7</v>
      </c>
      <c r="H540">
        <v>45.5</v>
      </c>
      <c r="I540" s="51" t="s">
        <v>36</v>
      </c>
      <c r="J540" t="s">
        <v>66</v>
      </c>
      <c r="K540" t="s">
        <v>74</v>
      </c>
      <c r="L540">
        <v>9</v>
      </c>
      <c r="M540" t="s">
        <v>77</v>
      </c>
    </row>
    <row r="541" spans="1:13" x14ac:dyDescent="0.3">
      <c r="A541">
        <v>2022</v>
      </c>
      <c r="B541" s="50">
        <v>44813</v>
      </c>
      <c r="C541">
        <v>9</v>
      </c>
      <c r="D541" s="51" t="s">
        <v>30</v>
      </c>
      <c r="E541">
        <v>548</v>
      </c>
      <c r="F541" s="51" t="s">
        <v>37</v>
      </c>
      <c r="G541">
        <v>10</v>
      </c>
      <c r="H541">
        <v>20</v>
      </c>
      <c r="I541" s="51" t="s">
        <v>36</v>
      </c>
      <c r="J541" t="s">
        <v>66</v>
      </c>
      <c r="K541" t="s">
        <v>74</v>
      </c>
      <c r="L541">
        <v>9</v>
      </c>
      <c r="M541" t="s">
        <v>77</v>
      </c>
    </row>
    <row r="542" spans="1:13" x14ac:dyDescent="0.3">
      <c r="A542">
        <v>2022</v>
      </c>
      <c r="B542" s="50">
        <v>44816</v>
      </c>
      <c r="C542">
        <v>9</v>
      </c>
      <c r="D542" s="51" t="s">
        <v>30</v>
      </c>
      <c r="E542">
        <v>540</v>
      </c>
      <c r="F542" s="51" t="s">
        <v>42</v>
      </c>
      <c r="G542">
        <v>5</v>
      </c>
      <c r="H542">
        <v>37.5</v>
      </c>
      <c r="I542" s="51" t="s">
        <v>36</v>
      </c>
      <c r="J542" t="s">
        <v>66</v>
      </c>
      <c r="K542" t="s">
        <v>74</v>
      </c>
      <c r="L542">
        <v>9</v>
      </c>
      <c r="M542" t="s">
        <v>77</v>
      </c>
    </row>
    <row r="543" spans="1:13" x14ac:dyDescent="0.3">
      <c r="A543">
        <v>2022</v>
      </c>
      <c r="B543" s="50">
        <v>44797</v>
      </c>
      <c r="C543">
        <v>8</v>
      </c>
      <c r="D543" s="51" t="s">
        <v>29</v>
      </c>
      <c r="E543">
        <v>580</v>
      </c>
      <c r="F543" s="51" t="s">
        <v>25</v>
      </c>
      <c r="G543">
        <v>13</v>
      </c>
      <c r="H543">
        <v>104</v>
      </c>
      <c r="I543" s="51" t="s">
        <v>36</v>
      </c>
      <c r="J543" t="s">
        <v>66</v>
      </c>
      <c r="K543" t="s">
        <v>74</v>
      </c>
      <c r="L543">
        <v>8</v>
      </c>
      <c r="M543" t="s">
        <v>76</v>
      </c>
    </row>
    <row r="544" spans="1:13" x14ac:dyDescent="0.3">
      <c r="A544">
        <v>2022</v>
      </c>
      <c r="B544" s="50">
        <v>44816</v>
      </c>
      <c r="C544">
        <v>9</v>
      </c>
      <c r="D544" s="51" t="s">
        <v>30</v>
      </c>
      <c r="E544">
        <v>560</v>
      </c>
      <c r="F544" s="51" t="s">
        <v>45</v>
      </c>
      <c r="G544">
        <v>5</v>
      </c>
      <c r="H544">
        <v>40</v>
      </c>
      <c r="I544" s="51" t="s">
        <v>36</v>
      </c>
      <c r="J544" t="s">
        <v>66</v>
      </c>
      <c r="K544" t="s">
        <v>74</v>
      </c>
      <c r="L544">
        <v>9</v>
      </c>
      <c r="M544" t="s">
        <v>77</v>
      </c>
    </row>
    <row r="545" spans="1:13" x14ac:dyDescent="0.3">
      <c r="A545">
        <v>2022</v>
      </c>
      <c r="B545" s="50">
        <v>44818</v>
      </c>
      <c r="C545">
        <v>9</v>
      </c>
      <c r="D545" s="51" t="s">
        <v>30</v>
      </c>
      <c r="E545">
        <v>516</v>
      </c>
      <c r="F545" s="51" t="s">
        <v>39</v>
      </c>
      <c r="G545">
        <v>7</v>
      </c>
      <c r="H545">
        <v>31.5</v>
      </c>
      <c r="I545" s="51" t="s">
        <v>36</v>
      </c>
      <c r="J545" t="s">
        <v>66</v>
      </c>
      <c r="K545" t="s">
        <v>74</v>
      </c>
      <c r="L545">
        <v>9</v>
      </c>
      <c r="M545" t="s">
        <v>77</v>
      </c>
    </row>
    <row r="546" spans="1:13" x14ac:dyDescent="0.3">
      <c r="A546">
        <v>2022</v>
      </c>
      <c r="B546" s="50">
        <v>44818</v>
      </c>
      <c r="C546">
        <v>9</v>
      </c>
      <c r="D546" s="51" t="s">
        <v>30</v>
      </c>
      <c r="E546">
        <v>530</v>
      </c>
      <c r="F546" s="51" t="s">
        <v>41</v>
      </c>
      <c r="G546">
        <v>5</v>
      </c>
      <c r="H546">
        <v>42.5</v>
      </c>
      <c r="I546" s="51" t="s">
        <v>36</v>
      </c>
      <c r="J546" t="s">
        <v>66</v>
      </c>
      <c r="K546" t="s">
        <v>74</v>
      </c>
      <c r="L546">
        <v>9</v>
      </c>
      <c r="M546" t="s">
        <v>77</v>
      </c>
    </row>
    <row r="547" spans="1:13" x14ac:dyDescent="0.3">
      <c r="A547">
        <v>2022</v>
      </c>
      <c r="B547" s="50">
        <v>44820</v>
      </c>
      <c r="C547">
        <v>9</v>
      </c>
      <c r="D547" s="51" t="s">
        <v>30</v>
      </c>
      <c r="E547">
        <v>518</v>
      </c>
      <c r="F547" s="51" t="s">
        <v>35</v>
      </c>
      <c r="G547">
        <v>4</v>
      </c>
      <c r="H547">
        <v>16</v>
      </c>
      <c r="I547" s="51" t="s">
        <v>36</v>
      </c>
      <c r="J547" t="s">
        <v>66</v>
      </c>
      <c r="K547" t="s">
        <v>74</v>
      </c>
      <c r="L547">
        <v>9</v>
      </c>
      <c r="M547" t="s">
        <v>77</v>
      </c>
    </row>
    <row r="548" spans="1:13" x14ac:dyDescent="0.3">
      <c r="A548">
        <v>2022</v>
      </c>
      <c r="B548" s="50">
        <v>44820</v>
      </c>
      <c r="C548">
        <v>9</v>
      </c>
      <c r="D548" s="51" t="s">
        <v>30</v>
      </c>
      <c r="E548">
        <v>524</v>
      </c>
      <c r="F548" s="51" t="s">
        <v>43</v>
      </c>
      <c r="G548">
        <v>3</v>
      </c>
      <c r="H548">
        <v>6</v>
      </c>
      <c r="I548" s="51" t="s">
        <v>36</v>
      </c>
      <c r="J548" t="s">
        <v>66</v>
      </c>
      <c r="K548" t="s">
        <v>74</v>
      </c>
      <c r="L548">
        <v>9</v>
      </c>
      <c r="M548" t="s">
        <v>77</v>
      </c>
    </row>
    <row r="549" spans="1:13" x14ac:dyDescent="0.3">
      <c r="A549">
        <v>2022</v>
      </c>
      <c r="B549" s="50">
        <v>44830</v>
      </c>
      <c r="C549">
        <v>9</v>
      </c>
      <c r="D549" s="51" t="s">
        <v>30</v>
      </c>
      <c r="E549">
        <v>542</v>
      </c>
      <c r="F549" s="51" t="s">
        <v>46</v>
      </c>
      <c r="G549">
        <v>6</v>
      </c>
      <c r="H549">
        <v>60</v>
      </c>
      <c r="I549" s="51" t="s">
        <v>36</v>
      </c>
      <c r="J549" t="s">
        <v>66</v>
      </c>
      <c r="K549" t="s">
        <v>74</v>
      </c>
      <c r="L549">
        <v>9</v>
      </c>
      <c r="M549" t="s">
        <v>77</v>
      </c>
    </row>
    <row r="550" spans="1:13" x14ac:dyDescent="0.3">
      <c r="A550">
        <v>2022</v>
      </c>
      <c r="B550" s="50">
        <v>44832</v>
      </c>
      <c r="C550">
        <v>9</v>
      </c>
      <c r="D550" s="51" t="s">
        <v>30</v>
      </c>
      <c r="E550">
        <v>510</v>
      </c>
      <c r="F550" s="51" t="s">
        <v>38</v>
      </c>
      <c r="G550">
        <v>6</v>
      </c>
      <c r="H550">
        <v>36</v>
      </c>
      <c r="I550" s="51" t="s">
        <v>36</v>
      </c>
      <c r="J550" t="s">
        <v>66</v>
      </c>
      <c r="K550" t="s">
        <v>74</v>
      </c>
      <c r="L550">
        <v>9</v>
      </c>
      <c r="M550" t="s">
        <v>77</v>
      </c>
    </row>
    <row r="551" spans="1:13" x14ac:dyDescent="0.3">
      <c r="A551">
        <v>2022</v>
      </c>
      <c r="B551" s="50">
        <v>44834</v>
      </c>
      <c r="C551">
        <v>9</v>
      </c>
      <c r="D551" s="51" t="s">
        <v>30</v>
      </c>
      <c r="E551">
        <v>562</v>
      </c>
      <c r="F551" s="51" t="s">
        <v>44</v>
      </c>
      <c r="G551">
        <v>5</v>
      </c>
      <c r="H551">
        <v>25</v>
      </c>
      <c r="I551" s="51" t="s">
        <v>36</v>
      </c>
      <c r="J551" t="s">
        <v>66</v>
      </c>
      <c r="K551" t="s">
        <v>74</v>
      </c>
      <c r="L551">
        <v>9</v>
      </c>
      <c r="M551" t="s">
        <v>77</v>
      </c>
    </row>
    <row r="552" spans="1:13" x14ac:dyDescent="0.3">
      <c r="A552">
        <v>2022</v>
      </c>
      <c r="B552" s="50">
        <v>44834</v>
      </c>
      <c r="C552">
        <v>9</v>
      </c>
      <c r="D552" s="51" t="s">
        <v>30</v>
      </c>
      <c r="E552">
        <v>510</v>
      </c>
      <c r="F552" s="51" t="s">
        <v>38</v>
      </c>
      <c r="G552">
        <v>6</v>
      </c>
      <c r="H552">
        <v>36</v>
      </c>
      <c r="I552" s="51" t="s">
        <v>36</v>
      </c>
      <c r="J552" t="s">
        <v>66</v>
      </c>
      <c r="K552" t="s">
        <v>74</v>
      </c>
      <c r="L552">
        <v>9</v>
      </c>
      <c r="M552" t="s">
        <v>77</v>
      </c>
    </row>
    <row r="553" spans="1:13" x14ac:dyDescent="0.3">
      <c r="A553">
        <v>2022</v>
      </c>
      <c r="B553" s="50">
        <v>44834</v>
      </c>
      <c r="C553">
        <v>9</v>
      </c>
      <c r="D553" s="51" t="s">
        <v>30</v>
      </c>
      <c r="E553">
        <v>580</v>
      </c>
      <c r="F553" s="51" t="s">
        <v>25</v>
      </c>
      <c r="G553">
        <v>13</v>
      </c>
      <c r="H553">
        <v>104</v>
      </c>
      <c r="I553" s="51" t="s">
        <v>36</v>
      </c>
      <c r="J553" t="s">
        <v>66</v>
      </c>
      <c r="K553" t="s">
        <v>74</v>
      </c>
      <c r="L553">
        <v>9</v>
      </c>
      <c r="M553" t="s">
        <v>77</v>
      </c>
    </row>
    <row r="554" spans="1:13" x14ac:dyDescent="0.3">
      <c r="A554">
        <v>2022</v>
      </c>
      <c r="B554" s="50">
        <v>44837</v>
      </c>
      <c r="C554">
        <v>10</v>
      </c>
      <c r="D554" s="51" t="s">
        <v>31</v>
      </c>
      <c r="E554">
        <v>532</v>
      </c>
      <c r="F554" s="51" t="s">
        <v>49</v>
      </c>
      <c r="G554">
        <v>2</v>
      </c>
      <c r="H554">
        <v>20</v>
      </c>
      <c r="I554" s="51" t="s">
        <v>36</v>
      </c>
      <c r="J554" t="s">
        <v>66</v>
      </c>
      <c r="K554" t="s">
        <v>78</v>
      </c>
      <c r="L554">
        <v>10</v>
      </c>
      <c r="M554" t="s">
        <v>79</v>
      </c>
    </row>
    <row r="555" spans="1:13" x14ac:dyDescent="0.3">
      <c r="A555">
        <v>2022</v>
      </c>
      <c r="B555" s="50">
        <v>44837</v>
      </c>
      <c r="C555">
        <v>10</v>
      </c>
      <c r="D555" s="51" t="s">
        <v>31</v>
      </c>
      <c r="E555">
        <v>544</v>
      </c>
      <c r="F555" s="51" t="s">
        <v>23</v>
      </c>
      <c r="G555">
        <v>6</v>
      </c>
      <c r="H555">
        <v>90</v>
      </c>
      <c r="I555" s="51" t="s">
        <v>36</v>
      </c>
      <c r="J555" t="s">
        <v>66</v>
      </c>
      <c r="K555" t="s">
        <v>78</v>
      </c>
      <c r="L555">
        <v>10</v>
      </c>
      <c r="M555" t="s">
        <v>79</v>
      </c>
    </row>
    <row r="556" spans="1:13" x14ac:dyDescent="0.3">
      <c r="A556">
        <v>2022</v>
      </c>
      <c r="B556" s="50">
        <v>44839</v>
      </c>
      <c r="C556">
        <v>10</v>
      </c>
      <c r="D556" s="51" t="s">
        <v>31</v>
      </c>
      <c r="E556">
        <v>536</v>
      </c>
      <c r="F556" s="51" t="s">
        <v>48</v>
      </c>
      <c r="G556">
        <v>5</v>
      </c>
      <c r="H556">
        <v>25</v>
      </c>
      <c r="I556" s="51" t="s">
        <v>36</v>
      </c>
      <c r="J556" t="s">
        <v>66</v>
      </c>
      <c r="K556" t="s">
        <v>78</v>
      </c>
      <c r="L556">
        <v>10</v>
      </c>
      <c r="M556" t="s">
        <v>79</v>
      </c>
    </row>
    <row r="557" spans="1:13" x14ac:dyDescent="0.3">
      <c r="A557">
        <v>2022</v>
      </c>
      <c r="B557" s="50">
        <v>44839</v>
      </c>
      <c r="C557">
        <v>10</v>
      </c>
      <c r="D557" s="51" t="s">
        <v>31</v>
      </c>
      <c r="E557">
        <v>542</v>
      </c>
      <c r="F557" s="51" t="s">
        <v>46</v>
      </c>
      <c r="G557">
        <v>3</v>
      </c>
      <c r="H557">
        <v>30</v>
      </c>
      <c r="I557" s="51" t="s">
        <v>36</v>
      </c>
      <c r="J557" t="s">
        <v>66</v>
      </c>
      <c r="K557" t="s">
        <v>78</v>
      </c>
      <c r="L557">
        <v>10</v>
      </c>
      <c r="M557" t="s">
        <v>79</v>
      </c>
    </row>
    <row r="558" spans="1:13" x14ac:dyDescent="0.3">
      <c r="A558">
        <v>2022</v>
      </c>
      <c r="B558" s="50">
        <v>44841</v>
      </c>
      <c r="C558">
        <v>10</v>
      </c>
      <c r="D558" s="51" t="s">
        <v>31</v>
      </c>
      <c r="E558">
        <v>514</v>
      </c>
      <c r="F558" s="51" t="s">
        <v>40</v>
      </c>
      <c r="G558">
        <v>7</v>
      </c>
      <c r="H558">
        <v>45.5</v>
      </c>
      <c r="I558" s="51" t="s">
        <v>36</v>
      </c>
      <c r="J558" t="s">
        <v>66</v>
      </c>
      <c r="K558" t="s">
        <v>78</v>
      </c>
      <c r="L558">
        <v>10</v>
      </c>
      <c r="M558" t="s">
        <v>79</v>
      </c>
    </row>
    <row r="559" spans="1:13" x14ac:dyDescent="0.3">
      <c r="A559">
        <v>2022</v>
      </c>
      <c r="B559" s="50">
        <v>44841</v>
      </c>
      <c r="C559">
        <v>10</v>
      </c>
      <c r="D559" s="51" t="s">
        <v>31</v>
      </c>
      <c r="E559">
        <v>548</v>
      </c>
      <c r="F559" s="51" t="s">
        <v>37</v>
      </c>
      <c r="G559">
        <v>10</v>
      </c>
      <c r="H559">
        <v>20</v>
      </c>
      <c r="I559" s="51" t="s">
        <v>36</v>
      </c>
      <c r="J559" t="s">
        <v>66</v>
      </c>
      <c r="K559" t="s">
        <v>78</v>
      </c>
      <c r="L559">
        <v>10</v>
      </c>
      <c r="M559" t="s">
        <v>79</v>
      </c>
    </row>
    <row r="560" spans="1:13" x14ac:dyDescent="0.3">
      <c r="A560">
        <v>2022</v>
      </c>
      <c r="B560" s="50">
        <v>44842</v>
      </c>
      <c r="C560">
        <v>10</v>
      </c>
      <c r="D560" s="51" t="s">
        <v>31</v>
      </c>
      <c r="E560">
        <v>580</v>
      </c>
      <c r="F560" s="51" t="s">
        <v>25</v>
      </c>
      <c r="G560">
        <v>5</v>
      </c>
      <c r="H560">
        <v>40</v>
      </c>
      <c r="I560" s="51" t="s">
        <v>36</v>
      </c>
      <c r="J560" t="s">
        <v>66</v>
      </c>
      <c r="K560" t="s">
        <v>78</v>
      </c>
      <c r="L560">
        <v>10</v>
      </c>
      <c r="M560" t="s">
        <v>79</v>
      </c>
    </row>
    <row r="561" spans="1:13" x14ac:dyDescent="0.3">
      <c r="A561">
        <v>2022</v>
      </c>
      <c r="B561" s="50">
        <v>44842</v>
      </c>
      <c r="C561">
        <v>10</v>
      </c>
      <c r="D561" s="51" t="s">
        <v>31</v>
      </c>
      <c r="E561">
        <v>522</v>
      </c>
      <c r="F561" s="51" t="s">
        <v>21</v>
      </c>
      <c r="G561">
        <v>5</v>
      </c>
      <c r="H561">
        <v>20</v>
      </c>
      <c r="I561" s="51" t="s">
        <v>36</v>
      </c>
      <c r="J561" t="s">
        <v>66</v>
      </c>
      <c r="K561" t="s">
        <v>78</v>
      </c>
      <c r="L561">
        <v>10</v>
      </c>
      <c r="M561" t="s">
        <v>79</v>
      </c>
    </row>
    <row r="562" spans="1:13" x14ac:dyDescent="0.3">
      <c r="A562">
        <v>2022</v>
      </c>
      <c r="B562" s="50">
        <v>44842</v>
      </c>
      <c r="C562">
        <v>10</v>
      </c>
      <c r="D562" s="51" t="s">
        <v>31</v>
      </c>
      <c r="E562">
        <v>524</v>
      </c>
      <c r="F562" s="51" t="s">
        <v>43</v>
      </c>
      <c r="G562">
        <v>3</v>
      </c>
      <c r="H562">
        <v>6</v>
      </c>
      <c r="I562" s="51" t="s">
        <v>36</v>
      </c>
      <c r="J562" t="s">
        <v>66</v>
      </c>
      <c r="K562" t="s">
        <v>78</v>
      </c>
      <c r="L562">
        <v>10</v>
      </c>
      <c r="M562" t="s">
        <v>79</v>
      </c>
    </row>
    <row r="563" spans="1:13" x14ac:dyDescent="0.3">
      <c r="A563">
        <v>2022</v>
      </c>
      <c r="B563" s="50">
        <v>44842</v>
      </c>
      <c r="C563">
        <v>10</v>
      </c>
      <c r="D563" s="51" t="s">
        <v>31</v>
      </c>
      <c r="E563">
        <v>530</v>
      </c>
      <c r="F563" s="51" t="s">
        <v>41</v>
      </c>
      <c r="G563">
        <v>6</v>
      </c>
      <c r="H563">
        <v>51</v>
      </c>
      <c r="I563" s="51" t="s">
        <v>36</v>
      </c>
      <c r="J563" t="s">
        <v>66</v>
      </c>
      <c r="K563" t="s">
        <v>78</v>
      </c>
      <c r="L563">
        <v>10</v>
      </c>
      <c r="M563" t="s">
        <v>79</v>
      </c>
    </row>
    <row r="564" spans="1:13" x14ac:dyDescent="0.3">
      <c r="A564">
        <v>2022</v>
      </c>
      <c r="B564" s="50">
        <v>44842</v>
      </c>
      <c r="C564">
        <v>10</v>
      </c>
      <c r="D564" s="51" t="s">
        <v>31</v>
      </c>
      <c r="E564">
        <v>540</v>
      </c>
      <c r="F564" s="51" t="s">
        <v>42</v>
      </c>
      <c r="G564">
        <v>5</v>
      </c>
      <c r="H564">
        <v>37.5</v>
      </c>
      <c r="I564" s="51" t="s">
        <v>36</v>
      </c>
      <c r="J564" t="s">
        <v>66</v>
      </c>
      <c r="K564" t="s">
        <v>78</v>
      </c>
      <c r="L564">
        <v>10</v>
      </c>
      <c r="M564" t="s">
        <v>79</v>
      </c>
    </row>
    <row r="565" spans="1:13" x14ac:dyDescent="0.3">
      <c r="A565">
        <v>2022</v>
      </c>
      <c r="B565" s="50">
        <v>44844</v>
      </c>
      <c r="C565">
        <v>10</v>
      </c>
      <c r="D565" s="51" t="s">
        <v>31</v>
      </c>
      <c r="E565">
        <v>540</v>
      </c>
      <c r="F565" s="51" t="s">
        <v>42</v>
      </c>
      <c r="G565">
        <v>5</v>
      </c>
      <c r="H565">
        <v>37.5</v>
      </c>
      <c r="I565" s="51" t="s">
        <v>36</v>
      </c>
      <c r="J565" t="s">
        <v>66</v>
      </c>
      <c r="K565" t="s">
        <v>78</v>
      </c>
      <c r="L565">
        <v>10</v>
      </c>
      <c r="M565" t="s">
        <v>79</v>
      </c>
    </row>
    <row r="566" spans="1:13" x14ac:dyDescent="0.3">
      <c r="A566">
        <v>2022</v>
      </c>
      <c r="B566" s="50">
        <v>44844</v>
      </c>
      <c r="C566">
        <v>10</v>
      </c>
      <c r="D566" s="51" t="s">
        <v>31</v>
      </c>
      <c r="E566">
        <v>560</v>
      </c>
      <c r="F566" s="51" t="s">
        <v>45</v>
      </c>
      <c r="G566">
        <v>5</v>
      </c>
      <c r="H566">
        <v>40</v>
      </c>
      <c r="I566" s="51" t="s">
        <v>36</v>
      </c>
      <c r="J566" t="s">
        <v>66</v>
      </c>
      <c r="K566" t="s">
        <v>78</v>
      </c>
      <c r="L566">
        <v>10</v>
      </c>
      <c r="M566" t="s">
        <v>79</v>
      </c>
    </row>
    <row r="567" spans="1:13" x14ac:dyDescent="0.3">
      <c r="A567">
        <v>2022</v>
      </c>
      <c r="B567" s="50">
        <v>44846</v>
      </c>
      <c r="C567">
        <v>10</v>
      </c>
      <c r="D567" s="51" t="s">
        <v>31</v>
      </c>
      <c r="E567">
        <v>516</v>
      </c>
      <c r="F567" s="51" t="s">
        <v>39</v>
      </c>
      <c r="G567">
        <v>7</v>
      </c>
      <c r="H567">
        <v>31.5</v>
      </c>
      <c r="I567" s="51" t="s">
        <v>36</v>
      </c>
      <c r="J567" t="s">
        <v>66</v>
      </c>
      <c r="K567" t="s">
        <v>78</v>
      </c>
      <c r="L567">
        <v>10</v>
      </c>
      <c r="M567" t="s">
        <v>79</v>
      </c>
    </row>
    <row r="568" spans="1:13" x14ac:dyDescent="0.3">
      <c r="A568">
        <v>2022</v>
      </c>
      <c r="B568" s="50">
        <v>44846</v>
      </c>
      <c r="C568">
        <v>10</v>
      </c>
      <c r="D568" s="51" t="s">
        <v>31</v>
      </c>
      <c r="E568">
        <v>530</v>
      </c>
      <c r="F568" s="51" t="s">
        <v>41</v>
      </c>
      <c r="G568">
        <v>5</v>
      </c>
      <c r="H568">
        <v>42.5</v>
      </c>
      <c r="I568" s="51" t="s">
        <v>36</v>
      </c>
      <c r="J568" t="s">
        <v>66</v>
      </c>
      <c r="K568" t="s">
        <v>78</v>
      </c>
      <c r="L568">
        <v>10</v>
      </c>
      <c r="M568" t="s">
        <v>79</v>
      </c>
    </row>
    <row r="569" spans="1:13" x14ac:dyDescent="0.3">
      <c r="A569">
        <v>2022</v>
      </c>
      <c r="B569" s="50">
        <v>44848</v>
      </c>
      <c r="C569">
        <v>10</v>
      </c>
      <c r="D569" s="51" t="s">
        <v>31</v>
      </c>
      <c r="E569">
        <v>518</v>
      </c>
      <c r="F569" s="51" t="s">
        <v>35</v>
      </c>
      <c r="G569">
        <v>4</v>
      </c>
      <c r="H569">
        <v>16</v>
      </c>
      <c r="I569" s="51" t="s">
        <v>36</v>
      </c>
      <c r="J569" t="s">
        <v>66</v>
      </c>
      <c r="K569" t="s">
        <v>78</v>
      </c>
      <c r="L569">
        <v>10</v>
      </c>
      <c r="M569" t="s">
        <v>79</v>
      </c>
    </row>
    <row r="570" spans="1:13" x14ac:dyDescent="0.3">
      <c r="A570">
        <v>2022</v>
      </c>
      <c r="B570" s="50">
        <v>44848</v>
      </c>
      <c r="C570">
        <v>10</v>
      </c>
      <c r="D570" s="51" t="s">
        <v>31</v>
      </c>
      <c r="E570">
        <v>524</v>
      </c>
      <c r="F570" s="51" t="s">
        <v>43</v>
      </c>
      <c r="G570">
        <v>3</v>
      </c>
      <c r="H570">
        <v>6</v>
      </c>
      <c r="I570" s="51" t="s">
        <v>36</v>
      </c>
      <c r="J570" t="s">
        <v>66</v>
      </c>
      <c r="K570" t="s">
        <v>78</v>
      </c>
      <c r="L570">
        <v>10</v>
      </c>
      <c r="M570" t="s">
        <v>79</v>
      </c>
    </row>
    <row r="571" spans="1:13" x14ac:dyDescent="0.3">
      <c r="A571">
        <v>2022</v>
      </c>
      <c r="B571" s="50">
        <v>44848</v>
      </c>
      <c r="C571">
        <v>10</v>
      </c>
      <c r="D571" s="51" t="s">
        <v>31</v>
      </c>
      <c r="E571">
        <v>580</v>
      </c>
      <c r="F571" s="51" t="s">
        <v>25</v>
      </c>
      <c r="G571">
        <v>14</v>
      </c>
      <c r="H571">
        <v>112</v>
      </c>
      <c r="I571" s="51" t="s">
        <v>36</v>
      </c>
      <c r="J571" t="s">
        <v>66</v>
      </c>
      <c r="K571" t="s">
        <v>78</v>
      </c>
      <c r="L571">
        <v>10</v>
      </c>
      <c r="M571" t="s">
        <v>79</v>
      </c>
    </row>
    <row r="572" spans="1:13" x14ac:dyDescent="0.3">
      <c r="A572">
        <v>2022</v>
      </c>
      <c r="B572" s="50">
        <v>44858</v>
      </c>
      <c r="C572">
        <v>10</v>
      </c>
      <c r="D572" s="51" t="s">
        <v>31</v>
      </c>
      <c r="E572">
        <v>542</v>
      </c>
      <c r="F572" s="51" t="s">
        <v>46</v>
      </c>
      <c r="G572">
        <v>6</v>
      </c>
      <c r="H572">
        <v>60</v>
      </c>
      <c r="I572" s="51" t="s">
        <v>36</v>
      </c>
      <c r="J572" t="s">
        <v>66</v>
      </c>
      <c r="K572" t="s">
        <v>78</v>
      </c>
      <c r="L572">
        <v>10</v>
      </c>
      <c r="M572" t="s">
        <v>79</v>
      </c>
    </row>
    <row r="573" spans="1:13" x14ac:dyDescent="0.3">
      <c r="A573">
        <v>2022</v>
      </c>
      <c r="B573" s="50">
        <v>44860</v>
      </c>
      <c r="C573">
        <v>10</v>
      </c>
      <c r="D573" s="51" t="s">
        <v>31</v>
      </c>
      <c r="E573">
        <v>510</v>
      </c>
      <c r="F573" s="51" t="s">
        <v>38</v>
      </c>
      <c r="G573">
        <v>6</v>
      </c>
      <c r="H573">
        <v>36</v>
      </c>
      <c r="I573" s="51" t="s">
        <v>36</v>
      </c>
      <c r="J573" t="s">
        <v>66</v>
      </c>
      <c r="K573" t="s">
        <v>78</v>
      </c>
      <c r="L573">
        <v>10</v>
      </c>
      <c r="M573" t="s">
        <v>79</v>
      </c>
    </row>
    <row r="574" spans="1:13" x14ac:dyDescent="0.3">
      <c r="A574">
        <v>2022</v>
      </c>
      <c r="B574" s="50">
        <v>44862</v>
      </c>
      <c r="C574">
        <v>10</v>
      </c>
      <c r="D574" s="51" t="s">
        <v>31</v>
      </c>
      <c r="E574">
        <v>562</v>
      </c>
      <c r="F574" s="51" t="s">
        <v>44</v>
      </c>
      <c r="G574">
        <v>5</v>
      </c>
      <c r="H574">
        <v>25</v>
      </c>
      <c r="I574" s="51" t="s">
        <v>36</v>
      </c>
      <c r="J574" t="s">
        <v>66</v>
      </c>
      <c r="K574" t="s">
        <v>78</v>
      </c>
      <c r="L574">
        <v>10</v>
      </c>
      <c r="M574" t="s">
        <v>79</v>
      </c>
    </row>
    <row r="575" spans="1:13" x14ac:dyDescent="0.3">
      <c r="A575">
        <v>2022</v>
      </c>
      <c r="B575" s="50">
        <v>44862</v>
      </c>
      <c r="C575">
        <v>10</v>
      </c>
      <c r="D575" s="51" t="s">
        <v>31</v>
      </c>
      <c r="E575">
        <v>510</v>
      </c>
      <c r="F575" s="51" t="s">
        <v>38</v>
      </c>
      <c r="G575">
        <v>6</v>
      </c>
      <c r="H575">
        <v>36</v>
      </c>
      <c r="I575" s="51" t="s">
        <v>36</v>
      </c>
      <c r="J575" t="s">
        <v>66</v>
      </c>
      <c r="K575" t="s">
        <v>78</v>
      </c>
      <c r="L575">
        <v>10</v>
      </c>
      <c r="M575" t="s">
        <v>79</v>
      </c>
    </row>
    <row r="576" spans="1:13" x14ac:dyDescent="0.3">
      <c r="A576">
        <v>2022</v>
      </c>
      <c r="B576" s="50">
        <v>44866</v>
      </c>
      <c r="C576">
        <v>11</v>
      </c>
      <c r="D576" s="51" t="s">
        <v>32</v>
      </c>
      <c r="E576">
        <v>532</v>
      </c>
      <c r="F576" s="51" t="s">
        <v>49</v>
      </c>
      <c r="G576">
        <v>2</v>
      </c>
      <c r="H576">
        <v>20</v>
      </c>
      <c r="I576" s="51" t="s">
        <v>36</v>
      </c>
      <c r="J576" t="s">
        <v>66</v>
      </c>
      <c r="K576" t="s">
        <v>78</v>
      </c>
      <c r="L576">
        <v>11</v>
      </c>
      <c r="M576" t="s">
        <v>80</v>
      </c>
    </row>
    <row r="577" spans="1:13" x14ac:dyDescent="0.3">
      <c r="A577">
        <v>2022</v>
      </c>
      <c r="B577" s="50">
        <v>44866</v>
      </c>
      <c r="C577">
        <v>11</v>
      </c>
      <c r="D577" s="51" t="s">
        <v>32</v>
      </c>
      <c r="E577">
        <v>544</v>
      </c>
      <c r="F577" s="51" t="s">
        <v>23</v>
      </c>
      <c r="G577">
        <v>6</v>
      </c>
      <c r="H577">
        <v>90</v>
      </c>
      <c r="I577" s="51" t="s">
        <v>36</v>
      </c>
      <c r="J577" t="s">
        <v>66</v>
      </c>
      <c r="K577" t="s">
        <v>78</v>
      </c>
      <c r="L577">
        <v>11</v>
      </c>
      <c r="M577" t="s">
        <v>80</v>
      </c>
    </row>
    <row r="578" spans="1:13" x14ac:dyDescent="0.3">
      <c r="A578">
        <v>2022</v>
      </c>
      <c r="B578" s="50">
        <v>44868</v>
      </c>
      <c r="C578">
        <v>11</v>
      </c>
      <c r="D578" s="51" t="s">
        <v>32</v>
      </c>
      <c r="E578">
        <v>536</v>
      </c>
      <c r="F578" s="51" t="s">
        <v>48</v>
      </c>
      <c r="G578">
        <v>5</v>
      </c>
      <c r="H578">
        <v>25</v>
      </c>
      <c r="I578" s="51" t="s">
        <v>36</v>
      </c>
      <c r="J578" t="s">
        <v>66</v>
      </c>
      <c r="K578" t="s">
        <v>78</v>
      </c>
      <c r="L578">
        <v>11</v>
      </c>
      <c r="M578" t="s">
        <v>80</v>
      </c>
    </row>
    <row r="579" spans="1:13" x14ac:dyDescent="0.3">
      <c r="A579">
        <v>2022</v>
      </c>
      <c r="B579" s="50">
        <v>44868</v>
      </c>
      <c r="C579">
        <v>11</v>
      </c>
      <c r="D579" s="51" t="s">
        <v>32</v>
      </c>
      <c r="E579">
        <v>542</v>
      </c>
      <c r="F579" s="51" t="s">
        <v>46</v>
      </c>
      <c r="G579">
        <v>3</v>
      </c>
      <c r="H579">
        <v>30</v>
      </c>
      <c r="I579" s="51" t="s">
        <v>36</v>
      </c>
      <c r="J579" t="s">
        <v>66</v>
      </c>
      <c r="K579" t="s">
        <v>78</v>
      </c>
      <c r="L579">
        <v>11</v>
      </c>
      <c r="M579" t="s">
        <v>80</v>
      </c>
    </row>
    <row r="580" spans="1:13" x14ac:dyDescent="0.3">
      <c r="A580">
        <v>2022</v>
      </c>
      <c r="B580" s="50">
        <v>44868</v>
      </c>
      <c r="C580">
        <v>11</v>
      </c>
      <c r="D580" s="51" t="s">
        <v>32</v>
      </c>
      <c r="E580">
        <v>580</v>
      </c>
      <c r="F580" s="51" t="s">
        <v>25</v>
      </c>
      <c r="G580">
        <v>12</v>
      </c>
      <c r="H580">
        <v>96</v>
      </c>
      <c r="I580" s="51" t="s">
        <v>36</v>
      </c>
      <c r="J580" t="s">
        <v>66</v>
      </c>
      <c r="K580" t="s">
        <v>78</v>
      </c>
      <c r="L580">
        <v>11</v>
      </c>
      <c r="M580" t="s">
        <v>80</v>
      </c>
    </row>
    <row r="581" spans="1:13" x14ac:dyDescent="0.3">
      <c r="A581">
        <v>2022</v>
      </c>
      <c r="B581" s="50">
        <v>44879</v>
      </c>
      <c r="C581">
        <v>11</v>
      </c>
      <c r="D581" s="51" t="s">
        <v>32</v>
      </c>
      <c r="E581">
        <v>514</v>
      </c>
      <c r="F581" s="51" t="s">
        <v>40</v>
      </c>
      <c r="G581">
        <v>7</v>
      </c>
      <c r="H581">
        <v>45.5</v>
      </c>
      <c r="I581" s="51" t="s">
        <v>36</v>
      </c>
      <c r="J581" t="s">
        <v>66</v>
      </c>
      <c r="K581" t="s">
        <v>78</v>
      </c>
      <c r="L581">
        <v>11</v>
      </c>
      <c r="M581" t="s">
        <v>80</v>
      </c>
    </row>
    <row r="582" spans="1:13" x14ac:dyDescent="0.3">
      <c r="A582">
        <v>2022</v>
      </c>
      <c r="B582" s="50">
        <v>44879</v>
      </c>
      <c r="C582">
        <v>11</v>
      </c>
      <c r="D582" s="51" t="s">
        <v>32</v>
      </c>
      <c r="E582">
        <v>548</v>
      </c>
      <c r="F582" s="51" t="s">
        <v>37</v>
      </c>
      <c r="G582">
        <v>10</v>
      </c>
      <c r="H582">
        <v>20</v>
      </c>
      <c r="I582" s="51" t="s">
        <v>36</v>
      </c>
      <c r="J582" t="s">
        <v>66</v>
      </c>
      <c r="K582" t="s">
        <v>78</v>
      </c>
      <c r="L582">
        <v>11</v>
      </c>
      <c r="M582" t="s">
        <v>80</v>
      </c>
    </row>
    <row r="583" spans="1:13" x14ac:dyDescent="0.3">
      <c r="A583">
        <v>2022</v>
      </c>
      <c r="B583" s="50">
        <v>44881</v>
      </c>
      <c r="C583">
        <v>11</v>
      </c>
      <c r="D583" s="51" t="s">
        <v>32</v>
      </c>
      <c r="E583">
        <v>540</v>
      </c>
      <c r="F583" s="51" t="s">
        <v>42</v>
      </c>
      <c r="G583">
        <v>5</v>
      </c>
      <c r="H583">
        <v>37.5</v>
      </c>
      <c r="I583" s="51" t="s">
        <v>36</v>
      </c>
      <c r="J583" t="s">
        <v>66</v>
      </c>
      <c r="K583" t="s">
        <v>78</v>
      </c>
      <c r="L583">
        <v>11</v>
      </c>
      <c r="M583" t="s">
        <v>80</v>
      </c>
    </row>
    <row r="584" spans="1:13" x14ac:dyDescent="0.3">
      <c r="A584">
        <v>2022</v>
      </c>
      <c r="B584" s="50">
        <v>44881</v>
      </c>
      <c r="C584">
        <v>11</v>
      </c>
      <c r="D584" s="51" t="s">
        <v>32</v>
      </c>
      <c r="E584">
        <v>560</v>
      </c>
      <c r="F584" s="51" t="s">
        <v>45</v>
      </c>
      <c r="G584">
        <v>5</v>
      </c>
      <c r="H584">
        <v>40</v>
      </c>
      <c r="I584" s="51" t="s">
        <v>36</v>
      </c>
      <c r="J584" t="s">
        <v>66</v>
      </c>
      <c r="K584" t="s">
        <v>78</v>
      </c>
      <c r="L584">
        <v>11</v>
      </c>
      <c r="M584" t="s">
        <v>80</v>
      </c>
    </row>
    <row r="585" spans="1:13" x14ac:dyDescent="0.3">
      <c r="A585">
        <v>2022</v>
      </c>
      <c r="B585" s="50">
        <v>44883</v>
      </c>
      <c r="C585">
        <v>11</v>
      </c>
      <c r="D585" s="51" t="s">
        <v>32</v>
      </c>
      <c r="E585">
        <v>516</v>
      </c>
      <c r="F585" s="51" t="s">
        <v>39</v>
      </c>
      <c r="G585">
        <v>7</v>
      </c>
      <c r="H585">
        <v>31.5</v>
      </c>
      <c r="I585" s="51" t="s">
        <v>36</v>
      </c>
      <c r="J585" t="s">
        <v>66</v>
      </c>
      <c r="K585" t="s">
        <v>78</v>
      </c>
      <c r="L585">
        <v>11</v>
      </c>
      <c r="M585" t="s">
        <v>80</v>
      </c>
    </row>
    <row r="586" spans="1:13" x14ac:dyDescent="0.3">
      <c r="A586">
        <v>2022</v>
      </c>
      <c r="B586" s="50">
        <v>44883</v>
      </c>
      <c r="C586">
        <v>11</v>
      </c>
      <c r="D586" s="51" t="s">
        <v>32</v>
      </c>
      <c r="E586">
        <v>530</v>
      </c>
      <c r="F586" s="51" t="s">
        <v>41</v>
      </c>
      <c r="G586">
        <v>5</v>
      </c>
      <c r="H586">
        <v>42.5</v>
      </c>
      <c r="I586" s="51" t="s">
        <v>36</v>
      </c>
      <c r="J586" t="s">
        <v>66</v>
      </c>
      <c r="K586" t="s">
        <v>78</v>
      </c>
      <c r="L586">
        <v>11</v>
      </c>
      <c r="M586" t="s">
        <v>80</v>
      </c>
    </row>
    <row r="587" spans="1:13" x14ac:dyDescent="0.3">
      <c r="A587">
        <v>2022</v>
      </c>
      <c r="B587" s="50">
        <v>44886</v>
      </c>
      <c r="C587">
        <v>11</v>
      </c>
      <c r="D587" s="51" t="s">
        <v>32</v>
      </c>
      <c r="E587">
        <v>518</v>
      </c>
      <c r="F587" s="51" t="s">
        <v>35</v>
      </c>
      <c r="G587">
        <v>4</v>
      </c>
      <c r="H587">
        <v>16</v>
      </c>
      <c r="I587" s="51" t="s">
        <v>36</v>
      </c>
      <c r="J587" t="s">
        <v>66</v>
      </c>
      <c r="K587" t="s">
        <v>78</v>
      </c>
      <c r="L587">
        <v>11</v>
      </c>
      <c r="M587" t="s">
        <v>80</v>
      </c>
    </row>
    <row r="588" spans="1:13" x14ac:dyDescent="0.3">
      <c r="A588">
        <v>2022</v>
      </c>
      <c r="B588" s="50">
        <v>44886</v>
      </c>
      <c r="C588">
        <v>11</v>
      </c>
      <c r="D588" s="51" t="s">
        <v>32</v>
      </c>
      <c r="E588">
        <v>524</v>
      </c>
      <c r="F588" s="51" t="s">
        <v>43</v>
      </c>
      <c r="G588">
        <v>3</v>
      </c>
      <c r="H588">
        <v>6</v>
      </c>
      <c r="I588" s="51" t="s">
        <v>36</v>
      </c>
      <c r="J588" t="s">
        <v>66</v>
      </c>
      <c r="K588" t="s">
        <v>78</v>
      </c>
      <c r="L588">
        <v>11</v>
      </c>
      <c r="M588" t="s">
        <v>80</v>
      </c>
    </row>
    <row r="589" spans="1:13" x14ac:dyDescent="0.3">
      <c r="A589">
        <v>2022</v>
      </c>
      <c r="B589" s="50">
        <v>44888</v>
      </c>
      <c r="C589">
        <v>11</v>
      </c>
      <c r="D589" s="51" t="s">
        <v>32</v>
      </c>
      <c r="E589">
        <v>542</v>
      </c>
      <c r="F589" s="51" t="s">
        <v>46</v>
      </c>
      <c r="G589">
        <v>6</v>
      </c>
      <c r="H589">
        <v>60</v>
      </c>
      <c r="I589" s="51" t="s">
        <v>36</v>
      </c>
      <c r="J589" t="s">
        <v>66</v>
      </c>
      <c r="K589" t="s">
        <v>78</v>
      </c>
      <c r="L589">
        <v>11</v>
      </c>
      <c r="M589" t="s">
        <v>80</v>
      </c>
    </row>
    <row r="590" spans="1:13" x14ac:dyDescent="0.3">
      <c r="A590">
        <v>2022</v>
      </c>
      <c r="B590" s="50">
        <v>44890</v>
      </c>
      <c r="C590">
        <v>11</v>
      </c>
      <c r="D590" s="51" t="s">
        <v>32</v>
      </c>
      <c r="E590">
        <v>510</v>
      </c>
      <c r="F590" s="51" t="s">
        <v>38</v>
      </c>
      <c r="G590">
        <v>6</v>
      </c>
      <c r="H590">
        <v>36</v>
      </c>
      <c r="I590" s="51" t="s">
        <v>36</v>
      </c>
      <c r="J590" t="s">
        <v>66</v>
      </c>
      <c r="K590" t="s">
        <v>78</v>
      </c>
      <c r="L590">
        <v>11</v>
      </c>
      <c r="M590" t="s">
        <v>80</v>
      </c>
    </row>
    <row r="591" spans="1:13" x14ac:dyDescent="0.3">
      <c r="A591">
        <v>2022</v>
      </c>
      <c r="B591" s="50">
        <v>44893</v>
      </c>
      <c r="C591">
        <v>11</v>
      </c>
      <c r="D591" s="51" t="s">
        <v>32</v>
      </c>
      <c r="E591">
        <v>562</v>
      </c>
      <c r="F591" s="51" t="s">
        <v>44</v>
      </c>
      <c r="G591">
        <v>5</v>
      </c>
      <c r="H591">
        <v>25</v>
      </c>
      <c r="I591" s="51" t="s">
        <v>36</v>
      </c>
      <c r="J591" t="s">
        <v>66</v>
      </c>
      <c r="K591" t="s">
        <v>78</v>
      </c>
      <c r="L591">
        <v>11</v>
      </c>
      <c r="M591" t="s">
        <v>80</v>
      </c>
    </row>
    <row r="592" spans="1:13" x14ac:dyDescent="0.3">
      <c r="A592">
        <v>2022</v>
      </c>
      <c r="B592" s="50">
        <v>44893</v>
      </c>
      <c r="C592">
        <v>11</v>
      </c>
      <c r="D592" s="51" t="s">
        <v>32</v>
      </c>
      <c r="E592">
        <v>510</v>
      </c>
      <c r="F592" s="51" t="s">
        <v>38</v>
      </c>
      <c r="G592">
        <v>6</v>
      </c>
      <c r="H592">
        <v>36</v>
      </c>
      <c r="I592" s="51" t="s">
        <v>36</v>
      </c>
      <c r="J592" t="s">
        <v>66</v>
      </c>
      <c r="K592" t="s">
        <v>78</v>
      </c>
      <c r="L592">
        <v>11</v>
      </c>
      <c r="M592" t="s">
        <v>80</v>
      </c>
    </row>
    <row r="593" spans="1:13" x14ac:dyDescent="0.3">
      <c r="A593">
        <v>2022</v>
      </c>
      <c r="B593" s="50">
        <v>44894</v>
      </c>
      <c r="C593">
        <v>11</v>
      </c>
      <c r="D593" s="51" t="s">
        <v>32</v>
      </c>
      <c r="E593">
        <v>518</v>
      </c>
      <c r="F593" s="51" t="s">
        <v>35</v>
      </c>
      <c r="G593">
        <v>4</v>
      </c>
      <c r="H593">
        <v>16</v>
      </c>
      <c r="I593" s="51" t="s">
        <v>36</v>
      </c>
      <c r="J593" t="s">
        <v>66</v>
      </c>
      <c r="K593" t="s">
        <v>78</v>
      </c>
      <c r="L593">
        <v>11</v>
      </c>
      <c r="M593" t="s">
        <v>80</v>
      </c>
    </row>
    <row r="594" spans="1:13" x14ac:dyDescent="0.3">
      <c r="A594">
        <v>2022</v>
      </c>
      <c r="B594" s="50">
        <v>44894</v>
      </c>
      <c r="C594">
        <v>11</v>
      </c>
      <c r="D594" s="51" t="s">
        <v>32</v>
      </c>
      <c r="E594">
        <v>524</v>
      </c>
      <c r="F594" s="51" t="s">
        <v>43</v>
      </c>
      <c r="G594">
        <v>3</v>
      </c>
      <c r="H594">
        <v>6</v>
      </c>
      <c r="I594" s="51" t="s">
        <v>36</v>
      </c>
      <c r="J594" t="s">
        <v>66</v>
      </c>
      <c r="K594" t="s">
        <v>78</v>
      </c>
      <c r="L594">
        <v>11</v>
      </c>
      <c r="M594" t="s">
        <v>80</v>
      </c>
    </row>
    <row r="595" spans="1:13" x14ac:dyDescent="0.3">
      <c r="A595">
        <v>2022</v>
      </c>
      <c r="B595" s="50">
        <v>44894</v>
      </c>
      <c r="C595">
        <v>11</v>
      </c>
      <c r="D595" s="51" t="s">
        <v>32</v>
      </c>
      <c r="E595">
        <v>542</v>
      </c>
      <c r="F595" s="51" t="s">
        <v>46</v>
      </c>
      <c r="G595">
        <v>6</v>
      </c>
      <c r="H595">
        <v>60</v>
      </c>
      <c r="I595" s="51" t="s">
        <v>36</v>
      </c>
      <c r="J595" t="s">
        <v>66</v>
      </c>
      <c r="K595" t="s">
        <v>78</v>
      </c>
      <c r="L595">
        <v>11</v>
      </c>
      <c r="M595" t="s">
        <v>80</v>
      </c>
    </row>
    <row r="596" spans="1:13" x14ac:dyDescent="0.3">
      <c r="A596">
        <v>2022</v>
      </c>
      <c r="B596" s="50">
        <v>44900</v>
      </c>
      <c r="C596">
        <v>12</v>
      </c>
      <c r="D596" s="51" t="s">
        <v>33</v>
      </c>
      <c r="E596">
        <v>532</v>
      </c>
      <c r="F596" s="51" t="s">
        <v>49</v>
      </c>
      <c r="G596">
        <v>2</v>
      </c>
      <c r="H596">
        <v>20</v>
      </c>
      <c r="I596" s="51" t="s">
        <v>36</v>
      </c>
      <c r="J596" t="s">
        <v>66</v>
      </c>
      <c r="K596" t="s">
        <v>78</v>
      </c>
      <c r="L596">
        <v>12</v>
      </c>
      <c r="M596" t="s">
        <v>81</v>
      </c>
    </row>
    <row r="597" spans="1:13" x14ac:dyDescent="0.3">
      <c r="A597">
        <v>2022</v>
      </c>
      <c r="B597" s="50">
        <v>44900</v>
      </c>
      <c r="C597">
        <v>12</v>
      </c>
      <c r="D597" s="51" t="s">
        <v>33</v>
      </c>
      <c r="E597">
        <v>544</v>
      </c>
      <c r="F597" s="51" t="s">
        <v>23</v>
      </c>
      <c r="G597">
        <v>6</v>
      </c>
      <c r="H597">
        <v>90</v>
      </c>
      <c r="I597" s="51" t="s">
        <v>36</v>
      </c>
      <c r="J597" t="s">
        <v>66</v>
      </c>
      <c r="K597" t="s">
        <v>78</v>
      </c>
      <c r="L597">
        <v>12</v>
      </c>
      <c r="M597" t="s">
        <v>81</v>
      </c>
    </row>
    <row r="598" spans="1:13" x14ac:dyDescent="0.3">
      <c r="A598">
        <v>2022</v>
      </c>
      <c r="B598" s="50">
        <v>44902</v>
      </c>
      <c r="C598">
        <v>12</v>
      </c>
      <c r="D598" s="51" t="s">
        <v>33</v>
      </c>
      <c r="E598">
        <v>536</v>
      </c>
      <c r="F598" s="51" t="s">
        <v>48</v>
      </c>
      <c r="G598">
        <v>5</v>
      </c>
      <c r="H598">
        <v>25</v>
      </c>
      <c r="I598" s="51" t="s">
        <v>36</v>
      </c>
      <c r="J598" t="s">
        <v>66</v>
      </c>
      <c r="K598" t="s">
        <v>78</v>
      </c>
      <c r="L598">
        <v>12</v>
      </c>
      <c r="M598" t="s">
        <v>81</v>
      </c>
    </row>
    <row r="599" spans="1:13" x14ac:dyDescent="0.3">
      <c r="A599">
        <v>2022</v>
      </c>
      <c r="B599" s="50">
        <v>44902</v>
      </c>
      <c r="C599">
        <v>12</v>
      </c>
      <c r="D599" s="51" t="s">
        <v>33</v>
      </c>
      <c r="E599">
        <v>542</v>
      </c>
      <c r="F599" s="51" t="s">
        <v>46</v>
      </c>
      <c r="G599">
        <v>3</v>
      </c>
      <c r="H599">
        <v>30</v>
      </c>
      <c r="I599" s="51" t="s">
        <v>36</v>
      </c>
      <c r="J599" t="s">
        <v>66</v>
      </c>
      <c r="K599" t="s">
        <v>78</v>
      </c>
      <c r="L599">
        <v>12</v>
      </c>
      <c r="M599" t="s">
        <v>81</v>
      </c>
    </row>
    <row r="600" spans="1:13" x14ac:dyDescent="0.3">
      <c r="A600">
        <v>2022</v>
      </c>
      <c r="B600" s="50">
        <v>44904</v>
      </c>
      <c r="C600">
        <v>12</v>
      </c>
      <c r="D600" s="51" t="s">
        <v>33</v>
      </c>
      <c r="E600">
        <v>514</v>
      </c>
      <c r="F600" s="51" t="s">
        <v>40</v>
      </c>
      <c r="G600">
        <v>7</v>
      </c>
      <c r="H600">
        <v>45.5</v>
      </c>
      <c r="I600" s="51" t="s">
        <v>36</v>
      </c>
      <c r="J600" t="s">
        <v>66</v>
      </c>
      <c r="K600" t="s">
        <v>78</v>
      </c>
      <c r="L600">
        <v>12</v>
      </c>
      <c r="M600" t="s">
        <v>81</v>
      </c>
    </row>
    <row r="601" spans="1:13" x14ac:dyDescent="0.3">
      <c r="A601">
        <v>2022</v>
      </c>
      <c r="B601" s="50">
        <v>44904</v>
      </c>
      <c r="C601">
        <v>12</v>
      </c>
      <c r="D601" s="51" t="s">
        <v>33</v>
      </c>
      <c r="E601">
        <v>548</v>
      </c>
      <c r="F601" s="51" t="s">
        <v>37</v>
      </c>
      <c r="G601">
        <v>10</v>
      </c>
      <c r="H601">
        <v>20</v>
      </c>
      <c r="I601" s="51" t="s">
        <v>36</v>
      </c>
      <c r="J601" t="s">
        <v>66</v>
      </c>
      <c r="K601" t="s">
        <v>78</v>
      </c>
      <c r="L601">
        <v>12</v>
      </c>
      <c r="M601" t="s">
        <v>81</v>
      </c>
    </row>
    <row r="602" spans="1:13" x14ac:dyDescent="0.3">
      <c r="A602">
        <v>2022</v>
      </c>
      <c r="B602" s="50">
        <v>44907</v>
      </c>
      <c r="C602">
        <v>12</v>
      </c>
      <c r="D602" s="51" t="s">
        <v>33</v>
      </c>
      <c r="E602">
        <v>540</v>
      </c>
      <c r="F602" s="51" t="s">
        <v>42</v>
      </c>
      <c r="G602">
        <v>5</v>
      </c>
      <c r="H602">
        <v>37.5</v>
      </c>
      <c r="I602" s="51" t="s">
        <v>36</v>
      </c>
      <c r="J602" t="s">
        <v>66</v>
      </c>
      <c r="K602" t="s">
        <v>78</v>
      </c>
      <c r="L602">
        <v>12</v>
      </c>
      <c r="M602" t="s">
        <v>81</v>
      </c>
    </row>
    <row r="603" spans="1:13" x14ac:dyDescent="0.3">
      <c r="A603">
        <v>2022</v>
      </c>
      <c r="B603" s="50">
        <v>44907</v>
      </c>
      <c r="C603">
        <v>12</v>
      </c>
      <c r="D603" s="51" t="s">
        <v>33</v>
      </c>
      <c r="E603">
        <v>560</v>
      </c>
      <c r="F603" s="51" t="s">
        <v>45</v>
      </c>
      <c r="G603">
        <v>5</v>
      </c>
      <c r="H603">
        <v>40</v>
      </c>
      <c r="I603" s="51" t="s">
        <v>36</v>
      </c>
      <c r="J603" t="s">
        <v>66</v>
      </c>
      <c r="K603" t="s">
        <v>78</v>
      </c>
      <c r="L603">
        <v>12</v>
      </c>
      <c r="M603" t="s">
        <v>81</v>
      </c>
    </row>
    <row r="604" spans="1:13" x14ac:dyDescent="0.3">
      <c r="A604">
        <v>2022</v>
      </c>
      <c r="B604" s="50">
        <v>44909</v>
      </c>
      <c r="C604">
        <v>12</v>
      </c>
      <c r="D604" s="51" t="s">
        <v>33</v>
      </c>
      <c r="E604">
        <v>516</v>
      </c>
      <c r="F604" s="51" t="s">
        <v>39</v>
      </c>
      <c r="G604">
        <v>7</v>
      </c>
      <c r="H604">
        <v>31.5</v>
      </c>
      <c r="I604" s="51" t="s">
        <v>36</v>
      </c>
      <c r="J604" t="s">
        <v>66</v>
      </c>
      <c r="K604" t="s">
        <v>78</v>
      </c>
      <c r="L604">
        <v>12</v>
      </c>
      <c r="M604" t="s">
        <v>81</v>
      </c>
    </row>
    <row r="605" spans="1:13" x14ac:dyDescent="0.3">
      <c r="A605">
        <v>2022</v>
      </c>
      <c r="B605" s="50">
        <v>44909</v>
      </c>
      <c r="C605">
        <v>12</v>
      </c>
      <c r="D605" s="51" t="s">
        <v>33</v>
      </c>
      <c r="E605">
        <v>530</v>
      </c>
      <c r="F605" s="51" t="s">
        <v>41</v>
      </c>
      <c r="G605">
        <v>5</v>
      </c>
      <c r="H605">
        <v>42.5</v>
      </c>
      <c r="I605" s="51" t="s">
        <v>36</v>
      </c>
      <c r="J605" t="s">
        <v>66</v>
      </c>
      <c r="K605" t="s">
        <v>78</v>
      </c>
      <c r="L605">
        <v>12</v>
      </c>
      <c r="M605" t="s">
        <v>81</v>
      </c>
    </row>
    <row r="606" spans="1:13" x14ac:dyDescent="0.3">
      <c r="A606">
        <v>2022</v>
      </c>
      <c r="B606" s="50">
        <v>44909</v>
      </c>
      <c r="C606">
        <v>12</v>
      </c>
      <c r="D606" s="51" t="s">
        <v>33</v>
      </c>
      <c r="E606">
        <v>580</v>
      </c>
      <c r="F606" s="51" t="s">
        <v>25</v>
      </c>
      <c r="G606">
        <v>17</v>
      </c>
      <c r="H606">
        <v>136</v>
      </c>
      <c r="I606" s="51" t="s">
        <v>36</v>
      </c>
      <c r="J606" t="s">
        <v>66</v>
      </c>
      <c r="K606" t="s">
        <v>78</v>
      </c>
      <c r="L606">
        <v>12</v>
      </c>
      <c r="M606" t="s">
        <v>81</v>
      </c>
    </row>
    <row r="607" spans="1:13" x14ac:dyDescent="0.3">
      <c r="A607">
        <v>2022</v>
      </c>
      <c r="B607" s="50">
        <v>44911</v>
      </c>
      <c r="C607">
        <v>12</v>
      </c>
      <c r="D607" s="51" t="s">
        <v>33</v>
      </c>
      <c r="E607">
        <v>518</v>
      </c>
      <c r="F607" s="51" t="s">
        <v>35</v>
      </c>
      <c r="G607">
        <v>4</v>
      </c>
      <c r="H607">
        <v>16</v>
      </c>
      <c r="I607" s="51" t="s">
        <v>36</v>
      </c>
      <c r="J607" t="s">
        <v>66</v>
      </c>
      <c r="K607" t="s">
        <v>78</v>
      </c>
      <c r="L607">
        <v>12</v>
      </c>
      <c r="M607" t="s">
        <v>81</v>
      </c>
    </row>
    <row r="608" spans="1:13" x14ac:dyDescent="0.3">
      <c r="A608">
        <v>2022</v>
      </c>
      <c r="B608" s="50">
        <v>44911</v>
      </c>
      <c r="C608">
        <v>12</v>
      </c>
      <c r="D608" s="51" t="s">
        <v>33</v>
      </c>
      <c r="E608">
        <v>524</v>
      </c>
      <c r="F608" s="51" t="s">
        <v>43</v>
      </c>
      <c r="G608">
        <v>3</v>
      </c>
      <c r="H608">
        <v>6</v>
      </c>
      <c r="I608" s="51" t="s">
        <v>36</v>
      </c>
      <c r="J608" t="s">
        <v>66</v>
      </c>
      <c r="K608" t="s">
        <v>78</v>
      </c>
      <c r="L608">
        <v>12</v>
      </c>
      <c r="M608" t="s">
        <v>81</v>
      </c>
    </row>
    <row r="609" spans="1:13" x14ac:dyDescent="0.3">
      <c r="A609">
        <v>2022</v>
      </c>
      <c r="B609" s="50">
        <v>44912</v>
      </c>
      <c r="C609">
        <v>12</v>
      </c>
      <c r="D609" s="51" t="s">
        <v>33</v>
      </c>
      <c r="E609">
        <v>576</v>
      </c>
      <c r="F609" s="51" t="s">
        <v>50</v>
      </c>
      <c r="G609">
        <v>10</v>
      </c>
      <c r="H609">
        <v>125</v>
      </c>
      <c r="I609" s="51" t="s">
        <v>36</v>
      </c>
      <c r="J609" t="s">
        <v>66</v>
      </c>
      <c r="K609" t="s">
        <v>78</v>
      </c>
      <c r="L609">
        <v>12</v>
      </c>
      <c r="M609" t="s">
        <v>81</v>
      </c>
    </row>
    <row r="610" spans="1:13" x14ac:dyDescent="0.3">
      <c r="A610">
        <v>2022</v>
      </c>
      <c r="B610" s="50">
        <v>44912</v>
      </c>
      <c r="C610">
        <v>12</v>
      </c>
      <c r="D610" s="51" t="s">
        <v>33</v>
      </c>
      <c r="E610">
        <v>578</v>
      </c>
      <c r="F610" s="51" t="s">
        <v>47</v>
      </c>
      <c r="G610">
        <v>4</v>
      </c>
      <c r="H610">
        <v>62</v>
      </c>
      <c r="I610" s="51" t="s">
        <v>36</v>
      </c>
      <c r="J610" t="s">
        <v>66</v>
      </c>
      <c r="K610" t="s">
        <v>78</v>
      </c>
      <c r="L610">
        <v>12</v>
      </c>
      <c r="M610" t="s">
        <v>81</v>
      </c>
    </row>
    <row r="611" spans="1:13" x14ac:dyDescent="0.3">
      <c r="A611">
        <v>2022</v>
      </c>
      <c r="B611" s="50">
        <v>44912</v>
      </c>
      <c r="C611">
        <v>12</v>
      </c>
      <c r="D611" s="51" t="s">
        <v>33</v>
      </c>
      <c r="E611">
        <v>580</v>
      </c>
      <c r="F611" s="51" t="s">
        <v>25</v>
      </c>
      <c r="G611">
        <v>7</v>
      </c>
      <c r="H611">
        <v>56</v>
      </c>
      <c r="I611" s="51" t="s">
        <v>36</v>
      </c>
      <c r="J611" t="s">
        <v>66</v>
      </c>
      <c r="K611" t="s">
        <v>78</v>
      </c>
      <c r="L611">
        <v>12</v>
      </c>
      <c r="M611" t="s">
        <v>81</v>
      </c>
    </row>
    <row r="612" spans="1:13" x14ac:dyDescent="0.3">
      <c r="A612">
        <v>2022</v>
      </c>
      <c r="B612" s="50">
        <v>44912</v>
      </c>
      <c r="C612">
        <v>12</v>
      </c>
      <c r="D612" s="51" t="s">
        <v>33</v>
      </c>
      <c r="E612">
        <v>568</v>
      </c>
      <c r="F612" s="51" t="s">
        <v>51</v>
      </c>
      <c r="G612">
        <v>7</v>
      </c>
      <c r="H612">
        <v>73.5</v>
      </c>
      <c r="I612" s="51" t="s">
        <v>36</v>
      </c>
      <c r="J612" t="s">
        <v>66</v>
      </c>
      <c r="K612" t="s">
        <v>78</v>
      </c>
      <c r="L612">
        <v>12</v>
      </c>
      <c r="M612" t="s">
        <v>81</v>
      </c>
    </row>
    <row r="613" spans="1:13" x14ac:dyDescent="0.3">
      <c r="A613">
        <v>2022</v>
      </c>
      <c r="B613" s="50">
        <v>44914</v>
      </c>
      <c r="C613">
        <v>12</v>
      </c>
      <c r="D613" s="51" t="s">
        <v>33</v>
      </c>
      <c r="E613">
        <v>542</v>
      </c>
      <c r="F613" s="51" t="s">
        <v>46</v>
      </c>
      <c r="G613">
        <v>6</v>
      </c>
      <c r="H613">
        <v>60</v>
      </c>
      <c r="I613" s="51" t="s">
        <v>36</v>
      </c>
      <c r="J613" t="s">
        <v>66</v>
      </c>
      <c r="K613" t="s">
        <v>78</v>
      </c>
      <c r="L613">
        <v>12</v>
      </c>
      <c r="M613" t="s">
        <v>81</v>
      </c>
    </row>
    <row r="614" spans="1:13" x14ac:dyDescent="0.3">
      <c r="A614">
        <v>2022</v>
      </c>
      <c r="B614" s="50">
        <v>44916</v>
      </c>
      <c r="C614">
        <v>12</v>
      </c>
      <c r="D614" s="51" t="s">
        <v>33</v>
      </c>
      <c r="E614">
        <v>510</v>
      </c>
      <c r="F614" s="51" t="s">
        <v>38</v>
      </c>
      <c r="G614">
        <v>6</v>
      </c>
      <c r="H614">
        <v>36</v>
      </c>
      <c r="I614" s="51" t="s">
        <v>36</v>
      </c>
      <c r="J614" t="s">
        <v>66</v>
      </c>
      <c r="K614" t="s">
        <v>78</v>
      </c>
      <c r="L614">
        <v>12</v>
      </c>
      <c r="M614" t="s">
        <v>81</v>
      </c>
    </row>
    <row r="615" spans="1:13" x14ac:dyDescent="0.3">
      <c r="A615">
        <v>2022</v>
      </c>
      <c r="B615" s="50">
        <v>44918</v>
      </c>
      <c r="C615">
        <v>12</v>
      </c>
      <c r="D615" s="51" t="s">
        <v>33</v>
      </c>
      <c r="E615">
        <v>562</v>
      </c>
      <c r="F615" s="51" t="s">
        <v>44</v>
      </c>
      <c r="G615">
        <v>5</v>
      </c>
      <c r="H615">
        <v>25</v>
      </c>
      <c r="I615" s="51" t="s">
        <v>36</v>
      </c>
      <c r="J615" t="s">
        <v>66</v>
      </c>
      <c r="K615" t="s">
        <v>78</v>
      </c>
      <c r="L615">
        <v>12</v>
      </c>
      <c r="M615" t="s">
        <v>81</v>
      </c>
    </row>
    <row r="616" spans="1:13" x14ac:dyDescent="0.3">
      <c r="A616">
        <v>2022</v>
      </c>
      <c r="B616" s="50">
        <v>44918</v>
      </c>
      <c r="C616">
        <v>12</v>
      </c>
      <c r="D616" s="51" t="s">
        <v>33</v>
      </c>
      <c r="E616">
        <v>510</v>
      </c>
      <c r="F616" s="51" t="s">
        <v>38</v>
      </c>
      <c r="G616">
        <v>6</v>
      </c>
      <c r="H616">
        <v>36</v>
      </c>
      <c r="I616" s="51" t="s">
        <v>36</v>
      </c>
      <c r="J616" t="s">
        <v>66</v>
      </c>
      <c r="K616" t="s">
        <v>78</v>
      </c>
      <c r="L616">
        <v>12</v>
      </c>
      <c r="M616" t="s">
        <v>81</v>
      </c>
    </row>
    <row r="617" spans="1:13" x14ac:dyDescent="0.3">
      <c r="A617">
        <v>2023</v>
      </c>
      <c r="B617" s="50">
        <v>44936</v>
      </c>
      <c r="C617">
        <v>1</v>
      </c>
      <c r="D617" s="51" t="s">
        <v>34</v>
      </c>
      <c r="E617">
        <v>510</v>
      </c>
      <c r="F617" s="51" t="s">
        <v>38</v>
      </c>
      <c r="G617">
        <v>7</v>
      </c>
      <c r="H617">
        <v>42</v>
      </c>
      <c r="I617" s="51" t="s">
        <v>36</v>
      </c>
      <c r="J617" t="s">
        <v>83</v>
      </c>
      <c r="K617" t="s">
        <v>67</v>
      </c>
      <c r="L617">
        <v>1</v>
      </c>
      <c r="M617" t="s">
        <v>82</v>
      </c>
    </row>
    <row r="618" spans="1:13" x14ac:dyDescent="0.3">
      <c r="A618">
        <v>2023</v>
      </c>
      <c r="B618" s="50">
        <v>44936</v>
      </c>
      <c r="C618">
        <v>1</v>
      </c>
      <c r="D618" s="51" t="s">
        <v>34</v>
      </c>
      <c r="E618">
        <v>514</v>
      </c>
      <c r="F618" s="51" t="s">
        <v>40</v>
      </c>
      <c r="G618">
        <v>3</v>
      </c>
      <c r="H618">
        <v>19.5</v>
      </c>
      <c r="I618" s="51" t="s">
        <v>36</v>
      </c>
      <c r="J618" t="s">
        <v>83</v>
      </c>
      <c r="K618" t="s">
        <v>67</v>
      </c>
      <c r="L618">
        <v>1</v>
      </c>
      <c r="M618" t="s">
        <v>82</v>
      </c>
    </row>
    <row r="619" spans="1:13" x14ac:dyDescent="0.3">
      <c r="A619">
        <v>2023</v>
      </c>
      <c r="B619" s="50">
        <v>44936</v>
      </c>
      <c r="C619">
        <v>1</v>
      </c>
      <c r="D619" s="51" t="s">
        <v>34</v>
      </c>
      <c r="E619">
        <v>516</v>
      </c>
      <c r="F619" s="51" t="s">
        <v>39</v>
      </c>
      <c r="G619">
        <v>4</v>
      </c>
      <c r="H619">
        <v>18</v>
      </c>
      <c r="I619" s="51" t="s">
        <v>36</v>
      </c>
      <c r="J619" t="s">
        <v>83</v>
      </c>
      <c r="K619" t="s">
        <v>67</v>
      </c>
      <c r="L619">
        <v>1</v>
      </c>
      <c r="M619" t="s">
        <v>82</v>
      </c>
    </row>
    <row r="620" spans="1:13" x14ac:dyDescent="0.3">
      <c r="A620">
        <v>2023</v>
      </c>
      <c r="B620" s="50">
        <v>44936</v>
      </c>
      <c r="C620">
        <v>1</v>
      </c>
      <c r="D620" s="51" t="s">
        <v>34</v>
      </c>
      <c r="E620">
        <v>580</v>
      </c>
      <c r="F620" s="51" t="s">
        <v>25</v>
      </c>
      <c r="G620">
        <v>5</v>
      </c>
      <c r="H620">
        <v>40</v>
      </c>
      <c r="I620" s="51" t="s">
        <v>36</v>
      </c>
      <c r="J620" t="s">
        <v>83</v>
      </c>
      <c r="K620" t="s">
        <v>67</v>
      </c>
      <c r="L620">
        <v>1</v>
      </c>
      <c r="M620" t="s">
        <v>82</v>
      </c>
    </row>
    <row r="621" spans="1:13" x14ac:dyDescent="0.3">
      <c r="A621">
        <v>2023</v>
      </c>
      <c r="B621" s="50">
        <v>44938</v>
      </c>
      <c r="C621">
        <v>1</v>
      </c>
      <c r="D621" s="51" t="s">
        <v>34</v>
      </c>
      <c r="E621">
        <v>580</v>
      </c>
      <c r="F621" s="51" t="s">
        <v>25</v>
      </c>
      <c r="G621">
        <v>5</v>
      </c>
      <c r="H621">
        <v>40</v>
      </c>
      <c r="I621" s="51" t="s">
        <v>36</v>
      </c>
      <c r="J621" t="s">
        <v>83</v>
      </c>
      <c r="K621" t="s">
        <v>67</v>
      </c>
      <c r="L621">
        <v>1</v>
      </c>
      <c r="M621" t="s">
        <v>82</v>
      </c>
    </row>
    <row r="622" spans="1:13" x14ac:dyDescent="0.3">
      <c r="A622">
        <v>2023</v>
      </c>
      <c r="B622" s="50">
        <v>44938</v>
      </c>
      <c r="C622">
        <v>1</v>
      </c>
      <c r="D622" s="51" t="s">
        <v>34</v>
      </c>
      <c r="E622">
        <v>516</v>
      </c>
      <c r="F622" s="51" t="s">
        <v>39</v>
      </c>
      <c r="G622">
        <v>5</v>
      </c>
      <c r="H622">
        <v>22.5</v>
      </c>
      <c r="I622" s="51" t="s">
        <v>36</v>
      </c>
      <c r="J622" t="s">
        <v>83</v>
      </c>
      <c r="K622" t="s">
        <v>67</v>
      </c>
      <c r="L622">
        <v>1</v>
      </c>
      <c r="M622" t="s">
        <v>82</v>
      </c>
    </row>
    <row r="623" spans="1:13" x14ac:dyDescent="0.3">
      <c r="A623">
        <v>2023</v>
      </c>
      <c r="B623" s="50">
        <v>44938</v>
      </c>
      <c r="C623">
        <v>1</v>
      </c>
      <c r="D623" s="51" t="s">
        <v>34</v>
      </c>
      <c r="E623">
        <v>580</v>
      </c>
      <c r="F623" s="51" t="s">
        <v>25</v>
      </c>
      <c r="G623">
        <v>5</v>
      </c>
      <c r="H623">
        <v>40</v>
      </c>
      <c r="I623" s="51" t="s">
        <v>36</v>
      </c>
      <c r="J623" t="s">
        <v>83</v>
      </c>
      <c r="K623" t="s">
        <v>67</v>
      </c>
      <c r="L623">
        <v>1</v>
      </c>
      <c r="M623" t="s">
        <v>82</v>
      </c>
    </row>
    <row r="624" spans="1:13" x14ac:dyDescent="0.3">
      <c r="A624">
        <v>2023</v>
      </c>
      <c r="B624" s="50">
        <v>44940</v>
      </c>
      <c r="C624">
        <v>1</v>
      </c>
      <c r="D624" s="51" t="s">
        <v>34</v>
      </c>
      <c r="E624">
        <v>522</v>
      </c>
      <c r="F624" s="51" t="s">
        <v>21</v>
      </c>
      <c r="G624">
        <v>5</v>
      </c>
      <c r="H624">
        <v>20</v>
      </c>
      <c r="I624" s="51" t="s">
        <v>36</v>
      </c>
      <c r="J624" t="s">
        <v>83</v>
      </c>
      <c r="K624" t="s">
        <v>67</v>
      </c>
      <c r="L624">
        <v>1</v>
      </c>
      <c r="M624" t="s">
        <v>82</v>
      </c>
    </row>
    <row r="625" spans="1:13" x14ac:dyDescent="0.3">
      <c r="A625">
        <v>2023</v>
      </c>
      <c r="B625" s="50">
        <v>44943</v>
      </c>
      <c r="C625">
        <v>1</v>
      </c>
      <c r="D625" s="51" t="s">
        <v>34</v>
      </c>
      <c r="E625">
        <v>524</v>
      </c>
      <c r="F625" s="51" t="s">
        <v>43</v>
      </c>
      <c r="G625">
        <v>3</v>
      </c>
      <c r="H625">
        <v>6</v>
      </c>
      <c r="I625" s="51" t="s">
        <v>36</v>
      </c>
      <c r="J625" t="s">
        <v>83</v>
      </c>
      <c r="K625" t="s">
        <v>67</v>
      </c>
      <c r="L625">
        <v>1</v>
      </c>
      <c r="M625" t="s">
        <v>82</v>
      </c>
    </row>
    <row r="626" spans="1:13" x14ac:dyDescent="0.3">
      <c r="A626">
        <v>2023</v>
      </c>
      <c r="B626" s="50">
        <v>44945</v>
      </c>
      <c r="C626">
        <v>1</v>
      </c>
      <c r="D626" s="51" t="s">
        <v>34</v>
      </c>
      <c r="E626">
        <v>530</v>
      </c>
      <c r="F626" s="51" t="s">
        <v>41</v>
      </c>
      <c r="G626">
        <v>6</v>
      </c>
      <c r="H626">
        <v>51</v>
      </c>
      <c r="I626" s="51" t="s">
        <v>36</v>
      </c>
      <c r="J626" t="s">
        <v>83</v>
      </c>
      <c r="K626" t="s">
        <v>67</v>
      </c>
      <c r="L626">
        <v>1</v>
      </c>
      <c r="M626" t="s">
        <v>82</v>
      </c>
    </row>
    <row r="627" spans="1:13" x14ac:dyDescent="0.3">
      <c r="A627">
        <v>2023</v>
      </c>
      <c r="B627" s="50">
        <v>44947</v>
      </c>
      <c r="C627">
        <v>1</v>
      </c>
      <c r="D627" s="51" t="s">
        <v>34</v>
      </c>
      <c r="E627">
        <v>536</v>
      </c>
      <c r="F627" s="51" t="s">
        <v>48</v>
      </c>
      <c r="G627">
        <v>3</v>
      </c>
      <c r="H627">
        <v>15</v>
      </c>
      <c r="I627" s="51" t="s">
        <v>36</v>
      </c>
      <c r="J627" t="s">
        <v>83</v>
      </c>
      <c r="K627" t="s">
        <v>67</v>
      </c>
      <c r="L627">
        <v>1</v>
      </c>
      <c r="M627" t="s">
        <v>82</v>
      </c>
    </row>
    <row r="628" spans="1:13" x14ac:dyDescent="0.3">
      <c r="A628">
        <v>2023</v>
      </c>
      <c r="B628" s="50">
        <v>44950</v>
      </c>
      <c r="C628">
        <v>1</v>
      </c>
      <c r="D628" s="51" t="s">
        <v>34</v>
      </c>
      <c r="E628">
        <v>540</v>
      </c>
      <c r="F628" s="51" t="s">
        <v>42</v>
      </c>
      <c r="G628">
        <v>7</v>
      </c>
      <c r="H628">
        <v>52.5</v>
      </c>
      <c r="I628" s="51" t="s">
        <v>36</v>
      </c>
      <c r="J628" t="s">
        <v>83</v>
      </c>
      <c r="K628" t="s">
        <v>67</v>
      </c>
      <c r="L628">
        <v>1</v>
      </c>
      <c r="M628" t="s">
        <v>82</v>
      </c>
    </row>
    <row r="629" spans="1:13" x14ac:dyDescent="0.3">
      <c r="A629">
        <v>2023</v>
      </c>
      <c r="B629" s="50">
        <v>44952</v>
      </c>
      <c r="C629">
        <v>1</v>
      </c>
      <c r="D629" s="51" t="s">
        <v>34</v>
      </c>
      <c r="E629">
        <v>580</v>
      </c>
      <c r="F629" s="51" t="s">
        <v>25</v>
      </c>
      <c r="G629">
        <v>12</v>
      </c>
      <c r="H629">
        <v>96</v>
      </c>
      <c r="I629" s="51" t="s">
        <v>36</v>
      </c>
      <c r="J629" t="s">
        <v>83</v>
      </c>
      <c r="K629" t="s">
        <v>67</v>
      </c>
      <c r="L629">
        <v>1</v>
      </c>
      <c r="M629" t="s">
        <v>82</v>
      </c>
    </row>
    <row r="630" spans="1:13" x14ac:dyDescent="0.3">
      <c r="A630">
        <v>2023</v>
      </c>
      <c r="B630" s="50">
        <v>44952</v>
      </c>
      <c r="C630">
        <v>1</v>
      </c>
      <c r="D630" s="51" t="s">
        <v>34</v>
      </c>
      <c r="E630">
        <v>576</v>
      </c>
      <c r="F630" s="51" t="s">
        <v>50</v>
      </c>
      <c r="G630">
        <v>10</v>
      </c>
      <c r="H630">
        <v>125</v>
      </c>
      <c r="I630" s="51" t="s">
        <v>36</v>
      </c>
      <c r="J630" t="s">
        <v>83</v>
      </c>
      <c r="K630" t="s">
        <v>67</v>
      </c>
      <c r="L630">
        <v>1</v>
      </c>
      <c r="M630" t="s">
        <v>82</v>
      </c>
    </row>
    <row r="631" spans="1:13" x14ac:dyDescent="0.3">
      <c r="A631">
        <v>2023</v>
      </c>
      <c r="B631" s="50">
        <v>44952</v>
      </c>
      <c r="C631">
        <v>1</v>
      </c>
      <c r="D631" s="51" t="s">
        <v>34</v>
      </c>
      <c r="E631">
        <v>578</v>
      </c>
      <c r="F631" s="51" t="s">
        <v>47</v>
      </c>
      <c r="G631">
        <v>4</v>
      </c>
      <c r="H631">
        <v>62</v>
      </c>
      <c r="I631" s="51" t="s">
        <v>36</v>
      </c>
      <c r="J631" t="s">
        <v>83</v>
      </c>
      <c r="K631" t="s">
        <v>67</v>
      </c>
      <c r="L631">
        <v>1</v>
      </c>
      <c r="M631" t="s">
        <v>82</v>
      </c>
    </row>
    <row r="632" spans="1:13" x14ac:dyDescent="0.3">
      <c r="A632">
        <v>2023</v>
      </c>
      <c r="B632" s="50">
        <v>44953</v>
      </c>
      <c r="C632">
        <v>1</v>
      </c>
      <c r="D632" s="51" t="s">
        <v>34</v>
      </c>
      <c r="E632">
        <v>580</v>
      </c>
      <c r="F632" s="51" t="s">
        <v>25</v>
      </c>
      <c r="G632">
        <v>7</v>
      </c>
      <c r="H632">
        <v>56</v>
      </c>
      <c r="I632" s="51" t="s">
        <v>36</v>
      </c>
      <c r="J632" t="s">
        <v>83</v>
      </c>
      <c r="K632" t="s">
        <v>67</v>
      </c>
      <c r="L632">
        <v>1</v>
      </c>
      <c r="M632" t="s">
        <v>82</v>
      </c>
    </row>
    <row r="633" spans="1:13" x14ac:dyDescent="0.3">
      <c r="A633">
        <v>2023</v>
      </c>
      <c r="B633" s="50">
        <v>44953</v>
      </c>
      <c r="C633">
        <v>1</v>
      </c>
      <c r="D633" s="51" t="s">
        <v>34</v>
      </c>
      <c r="E633">
        <v>568</v>
      </c>
      <c r="F633" s="51" t="s">
        <v>51</v>
      </c>
      <c r="G633">
        <v>7</v>
      </c>
      <c r="H633">
        <v>73.5</v>
      </c>
      <c r="I633" s="51" t="s">
        <v>36</v>
      </c>
      <c r="J633" t="s">
        <v>83</v>
      </c>
      <c r="K633" t="s">
        <v>67</v>
      </c>
      <c r="L633">
        <v>1</v>
      </c>
      <c r="M633" t="s">
        <v>82</v>
      </c>
    </row>
    <row r="634" spans="1:13" x14ac:dyDescent="0.3">
      <c r="A634">
        <v>2023</v>
      </c>
      <c r="B634" s="50">
        <v>44954</v>
      </c>
      <c r="C634">
        <v>1</v>
      </c>
      <c r="D634" s="51" t="s">
        <v>34</v>
      </c>
      <c r="E634">
        <v>580</v>
      </c>
      <c r="F634" s="51" t="s">
        <v>25</v>
      </c>
      <c r="G634">
        <v>12</v>
      </c>
      <c r="H634">
        <v>96</v>
      </c>
      <c r="I634" s="51" t="s">
        <v>36</v>
      </c>
      <c r="J634" t="s">
        <v>83</v>
      </c>
      <c r="K634" t="s">
        <v>67</v>
      </c>
      <c r="L634">
        <v>1</v>
      </c>
      <c r="M634" t="s">
        <v>82</v>
      </c>
    </row>
    <row r="635" spans="1:13" x14ac:dyDescent="0.3">
      <c r="A635">
        <v>2023</v>
      </c>
      <c r="B635" s="50">
        <v>44954</v>
      </c>
      <c r="C635">
        <v>1</v>
      </c>
      <c r="D635" s="51" t="s">
        <v>34</v>
      </c>
      <c r="E635">
        <v>580</v>
      </c>
      <c r="F635" s="51" t="s">
        <v>25</v>
      </c>
      <c r="G635">
        <v>12</v>
      </c>
      <c r="H635">
        <v>96</v>
      </c>
      <c r="I635" s="51" t="s">
        <v>36</v>
      </c>
      <c r="J635" t="s">
        <v>83</v>
      </c>
      <c r="K635" t="s">
        <v>67</v>
      </c>
      <c r="L635">
        <v>1</v>
      </c>
      <c r="M635" t="s">
        <v>82</v>
      </c>
    </row>
    <row r="636" spans="1:13" x14ac:dyDescent="0.3">
      <c r="A636">
        <v>2023</v>
      </c>
      <c r="B636" s="50">
        <v>44955</v>
      </c>
      <c r="C636">
        <v>1</v>
      </c>
      <c r="D636" s="51" t="s">
        <v>34</v>
      </c>
      <c r="E636">
        <v>576</v>
      </c>
      <c r="F636" s="51" t="s">
        <v>50</v>
      </c>
      <c r="G636">
        <v>10</v>
      </c>
      <c r="H636">
        <v>125</v>
      </c>
      <c r="I636" s="51" t="s">
        <v>36</v>
      </c>
      <c r="J636" t="s">
        <v>83</v>
      </c>
      <c r="K636" t="s">
        <v>67</v>
      </c>
      <c r="L636">
        <v>1</v>
      </c>
      <c r="M636" t="s">
        <v>82</v>
      </c>
    </row>
    <row r="637" spans="1:13" x14ac:dyDescent="0.3">
      <c r="A637">
        <v>2023</v>
      </c>
      <c r="B637" s="50">
        <v>44955</v>
      </c>
      <c r="C637">
        <v>1</v>
      </c>
      <c r="D637" s="51" t="s">
        <v>34</v>
      </c>
      <c r="E637">
        <v>542</v>
      </c>
      <c r="F637" s="51" t="s">
        <v>46</v>
      </c>
      <c r="G637">
        <v>7</v>
      </c>
      <c r="H637">
        <v>70</v>
      </c>
      <c r="I637" s="51" t="s">
        <v>36</v>
      </c>
      <c r="J637" t="s">
        <v>83</v>
      </c>
      <c r="K637" t="s">
        <v>67</v>
      </c>
      <c r="L637">
        <v>1</v>
      </c>
      <c r="M637" t="s">
        <v>82</v>
      </c>
    </row>
    <row r="638" spans="1:13" x14ac:dyDescent="0.3">
      <c r="A638">
        <v>2023</v>
      </c>
      <c r="B638" s="50">
        <v>44955</v>
      </c>
      <c r="C638">
        <v>1</v>
      </c>
      <c r="D638" s="51" t="s">
        <v>34</v>
      </c>
      <c r="E638">
        <v>548</v>
      </c>
      <c r="F638" s="51" t="s">
        <v>37</v>
      </c>
      <c r="G638">
        <v>5</v>
      </c>
      <c r="H638">
        <v>10</v>
      </c>
      <c r="I638" s="51" t="s">
        <v>36</v>
      </c>
      <c r="J638" t="s">
        <v>83</v>
      </c>
      <c r="K638" t="s">
        <v>67</v>
      </c>
      <c r="L638">
        <v>1</v>
      </c>
      <c r="M638" t="s">
        <v>82</v>
      </c>
    </row>
    <row r="639" spans="1:13" x14ac:dyDescent="0.3">
      <c r="A639">
        <v>2023</v>
      </c>
      <c r="B639" s="50">
        <v>44955</v>
      </c>
      <c r="C639">
        <v>1</v>
      </c>
      <c r="D639" s="51" t="s">
        <v>34</v>
      </c>
      <c r="E639">
        <v>560</v>
      </c>
      <c r="F639" s="51" t="s">
        <v>45</v>
      </c>
      <c r="G639">
        <v>10</v>
      </c>
      <c r="H639">
        <v>80</v>
      </c>
      <c r="I639" s="51" t="s">
        <v>36</v>
      </c>
      <c r="J639" t="s">
        <v>83</v>
      </c>
      <c r="K639" t="s">
        <v>67</v>
      </c>
      <c r="L639">
        <v>1</v>
      </c>
      <c r="M639" t="s">
        <v>82</v>
      </c>
    </row>
    <row r="640" spans="1:13" x14ac:dyDescent="0.3">
      <c r="A640">
        <v>2023</v>
      </c>
      <c r="B640" s="50">
        <v>44955</v>
      </c>
      <c r="C640">
        <v>1</v>
      </c>
      <c r="D640" s="51" t="s">
        <v>34</v>
      </c>
      <c r="E640">
        <v>572</v>
      </c>
      <c r="F640" s="51" t="s">
        <v>52</v>
      </c>
      <c r="G640">
        <v>6</v>
      </c>
      <c r="H640">
        <v>36</v>
      </c>
      <c r="I640" s="51" t="s">
        <v>36</v>
      </c>
      <c r="J640" t="s">
        <v>83</v>
      </c>
      <c r="K640" t="s">
        <v>67</v>
      </c>
      <c r="L640">
        <v>1</v>
      </c>
      <c r="M640" t="s">
        <v>82</v>
      </c>
    </row>
    <row r="641" spans="1:13" x14ac:dyDescent="0.3">
      <c r="A641">
        <v>2023</v>
      </c>
      <c r="B641" s="50">
        <v>44955</v>
      </c>
      <c r="C641">
        <v>1</v>
      </c>
      <c r="D641" s="51" t="s">
        <v>34</v>
      </c>
      <c r="E641">
        <v>574</v>
      </c>
      <c r="F641" s="51" t="s">
        <v>53</v>
      </c>
      <c r="G641">
        <v>5</v>
      </c>
      <c r="H641">
        <v>27.5</v>
      </c>
      <c r="I641" s="51" t="s">
        <v>36</v>
      </c>
      <c r="J641" t="s">
        <v>83</v>
      </c>
      <c r="K641" t="s">
        <v>67</v>
      </c>
      <c r="L641">
        <v>1</v>
      </c>
      <c r="M641" t="s">
        <v>82</v>
      </c>
    </row>
    <row r="642" spans="1:13" x14ac:dyDescent="0.3">
      <c r="A642">
        <v>2023</v>
      </c>
      <c r="B642" s="50">
        <v>44964</v>
      </c>
      <c r="C642">
        <v>2</v>
      </c>
      <c r="D642" s="51" t="s">
        <v>18</v>
      </c>
      <c r="E642">
        <v>542</v>
      </c>
      <c r="F642" s="51" t="s">
        <v>46</v>
      </c>
      <c r="G642">
        <v>1</v>
      </c>
      <c r="H642">
        <v>10</v>
      </c>
      <c r="I642" s="51" t="s">
        <v>36</v>
      </c>
      <c r="J642" t="s">
        <v>83</v>
      </c>
      <c r="K642" t="s">
        <v>67</v>
      </c>
      <c r="L642">
        <v>2</v>
      </c>
      <c r="M642" t="s">
        <v>68</v>
      </c>
    </row>
    <row r="643" spans="1:13" x14ac:dyDescent="0.3">
      <c r="A643">
        <v>2023</v>
      </c>
      <c r="B643" s="50">
        <v>44965</v>
      </c>
      <c r="C643">
        <v>2</v>
      </c>
      <c r="D643" s="51" t="s">
        <v>18</v>
      </c>
      <c r="E643">
        <v>548</v>
      </c>
      <c r="F643" s="51" t="s">
        <v>37</v>
      </c>
      <c r="G643">
        <v>5</v>
      </c>
      <c r="H643">
        <v>10</v>
      </c>
      <c r="I643" s="51" t="s">
        <v>36</v>
      </c>
      <c r="J643" t="s">
        <v>83</v>
      </c>
      <c r="K643" t="s">
        <v>67</v>
      </c>
      <c r="L643">
        <v>2</v>
      </c>
      <c r="M643" t="s">
        <v>68</v>
      </c>
    </row>
    <row r="644" spans="1:13" x14ac:dyDescent="0.3">
      <c r="A644">
        <v>2023</v>
      </c>
      <c r="B644" s="50">
        <v>44966</v>
      </c>
      <c r="C644">
        <v>2</v>
      </c>
      <c r="D644" s="51" t="s">
        <v>18</v>
      </c>
      <c r="E644">
        <v>560</v>
      </c>
      <c r="F644" s="51" t="s">
        <v>45</v>
      </c>
      <c r="G644">
        <v>2</v>
      </c>
      <c r="H644">
        <v>16</v>
      </c>
      <c r="I644" s="51" t="s">
        <v>36</v>
      </c>
      <c r="J644" t="s">
        <v>83</v>
      </c>
      <c r="K644" t="s">
        <v>67</v>
      </c>
      <c r="L644">
        <v>2</v>
      </c>
      <c r="M644" t="s">
        <v>68</v>
      </c>
    </row>
    <row r="645" spans="1:13" x14ac:dyDescent="0.3">
      <c r="A645">
        <v>2023</v>
      </c>
      <c r="B645" s="50">
        <v>44967</v>
      </c>
      <c r="C645">
        <v>2</v>
      </c>
      <c r="D645" s="51" t="s">
        <v>18</v>
      </c>
      <c r="E645">
        <v>566</v>
      </c>
      <c r="F645" s="51" t="s">
        <v>54</v>
      </c>
      <c r="G645">
        <v>2</v>
      </c>
      <c r="H645">
        <v>17</v>
      </c>
      <c r="I645" s="51" t="s">
        <v>36</v>
      </c>
      <c r="J645" t="s">
        <v>83</v>
      </c>
      <c r="K645" t="s">
        <v>67</v>
      </c>
      <c r="L645">
        <v>2</v>
      </c>
      <c r="M645" t="s">
        <v>68</v>
      </c>
    </row>
    <row r="646" spans="1:13" x14ac:dyDescent="0.3">
      <c r="A646">
        <v>2023</v>
      </c>
      <c r="B646" s="50">
        <v>44968</v>
      </c>
      <c r="C646">
        <v>2</v>
      </c>
      <c r="D646" s="51" t="s">
        <v>18</v>
      </c>
      <c r="E646">
        <v>576</v>
      </c>
      <c r="F646" s="51" t="s">
        <v>50</v>
      </c>
      <c r="G646">
        <v>10</v>
      </c>
      <c r="H646">
        <v>125</v>
      </c>
      <c r="I646" s="51" t="s">
        <v>36</v>
      </c>
      <c r="J646" t="s">
        <v>83</v>
      </c>
      <c r="K646" t="s">
        <v>67</v>
      </c>
      <c r="L646">
        <v>2</v>
      </c>
      <c r="M646" t="s">
        <v>68</v>
      </c>
    </row>
    <row r="647" spans="1:13" x14ac:dyDescent="0.3">
      <c r="A647">
        <v>2023</v>
      </c>
      <c r="B647" s="50">
        <v>44968</v>
      </c>
      <c r="C647">
        <v>2</v>
      </c>
      <c r="D647" s="51" t="s">
        <v>18</v>
      </c>
      <c r="E647">
        <v>578</v>
      </c>
      <c r="F647" s="51" t="s">
        <v>47</v>
      </c>
      <c r="G647">
        <v>4</v>
      </c>
      <c r="H647">
        <v>62</v>
      </c>
      <c r="I647" s="51" t="s">
        <v>36</v>
      </c>
      <c r="J647" t="s">
        <v>83</v>
      </c>
      <c r="K647" t="s">
        <v>67</v>
      </c>
      <c r="L647">
        <v>2</v>
      </c>
      <c r="M647" t="s">
        <v>68</v>
      </c>
    </row>
    <row r="648" spans="1:13" x14ac:dyDescent="0.3">
      <c r="A648">
        <v>2023</v>
      </c>
      <c r="B648" s="50">
        <v>44968</v>
      </c>
      <c r="C648">
        <v>2</v>
      </c>
      <c r="D648" s="51" t="s">
        <v>18</v>
      </c>
      <c r="E648">
        <v>580</v>
      </c>
      <c r="F648" s="51" t="s">
        <v>25</v>
      </c>
      <c r="G648">
        <v>7</v>
      </c>
      <c r="H648">
        <v>56</v>
      </c>
      <c r="I648" s="51" t="s">
        <v>36</v>
      </c>
      <c r="J648" t="s">
        <v>83</v>
      </c>
      <c r="K648" t="s">
        <v>67</v>
      </c>
      <c r="L648">
        <v>2</v>
      </c>
      <c r="M648" t="s">
        <v>68</v>
      </c>
    </row>
    <row r="649" spans="1:13" x14ac:dyDescent="0.3">
      <c r="A649">
        <v>2023</v>
      </c>
      <c r="B649" s="50">
        <v>44968</v>
      </c>
      <c r="C649">
        <v>2</v>
      </c>
      <c r="D649" s="51" t="s">
        <v>18</v>
      </c>
      <c r="E649">
        <v>568</v>
      </c>
      <c r="F649" s="51" t="s">
        <v>51</v>
      </c>
      <c r="G649">
        <v>7</v>
      </c>
      <c r="H649">
        <v>73.5</v>
      </c>
      <c r="I649" s="51" t="s">
        <v>36</v>
      </c>
      <c r="J649" t="s">
        <v>83</v>
      </c>
      <c r="K649" t="s">
        <v>67</v>
      </c>
      <c r="L649">
        <v>2</v>
      </c>
      <c r="M649" t="s">
        <v>68</v>
      </c>
    </row>
    <row r="650" spans="1:13" x14ac:dyDescent="0.3">
      <c r="A650">
        <v>2023</v>
      </c>
      <c r="B650" s="50">
        <v>44969</v>
      </c>
      <c r="C650">
        <v>2</v>
      </c>
      <c r="D650" s="51" t="s">
        <v>18</v>
      </c>
      <c r="E650">
        <v>576</v>
      </c>
      <c r="F650" s="51" t="s">
        <v>50</v>
      </c>
      <c r="G650">
        <v>10</v>
      </c>
      <c r="H650">
        <v>125</v>
      </c>
      <c r="I650" s="51" t="s">
        <v>36</v>
      </c>
      <c r="J650" t="s">
        <v>83</v>
      </c>
      <c r="K650" t="s">
        <v>67</v>
      </c>
      <c r="L650">
        <v>2</v>
      </c>
      <c r="M650" t="s">
        <v>68</v>
      </c>
    </row>
    <row r="651" spans="1:13" x14ac:dyDescent="0.3">
      <c r="A651">
        <v>2023</v>
      </c>
      <c r="B651" s="50">
        <v>44969</v>
      </c>
      <c r="C651">
        <v>2</v>
      </c>
      <c r="D651" s="51" t="s">
        <v>18</v>
      </c>
      <c r="E651">
        <v>578</v>
      </c>
      <c r="F651" s="51" t="s">
        <v>47</v>
      </c>
      <c r="G651">
        <v>4</v>
      </c>
      <c r="H651">
        <v>62</v>
      </c>
      <c r="I651" s="51" t="s">
        <v>36</v>
      </c>
      <c r="J651" t="s">
        <v>83</v>
      </c>
      <c r="K651" t="s">
        <v>67</v>
      </c>
      <c r="L651">
        <v>2</v>
      </c>
      <c r="M651" t="s">
        <v>68</v>
      </c>
    </row>
    <row r="652" spans="1:13" x14ac:dyDescent="0.3">
      <c r="A652">
        <v>2023</v>
      </c>
      <c r="B652" s="50">
        <v>44969</v>
      </c>
      <c r="C652">
        <v>2</v>
      </c>
      <c r="D652" s="51" t="s">
        <v>18</v>
      </c>
      <c r="E652">
        <v>580</v>
      </c>
      <c r="F652" s="51" t="s">
        <v>25</v>
      </c>
      <c r="G652">
        <v>7</v>
      </c>
      <c r="H652">
        <v>56</v>
      </c>
      <c r="I652" s="51" t="s">
        <v>36</v>
      </c>
      <c r="J652" t="s">
        <v>83</v>
      </c>
      <c r="K652" t="s">
        <v>67</v>
      </c>
      <c r="L652">
        <v>2</v>
      </c>
      <c r="M652" t="s">
        <v>68</v>
      </c>
    </row>
    <row r="653" spans="1:13" x14ac:dyDescent="0.3">
      <c r="A653">
        <v>2023</v>
      </c>
      <c r="B653" s="50">
        <v>44969</v>
      </c>
      <c r="C653">
        <v>2</v>
      </c>
      <c r="D653" s="51" t="s">
        <v>18</v>
      </c>
      <c r="E653">
        <v>568</v>
      </c>
      <c r="F653" s="51" t="s">
        <v>51</v>
      </c>
      <c r="G653">
        <v>7</v>
      </c>
      <c r="H653">
        <v>73.5</v>
      </c>
      <c r="I653" s="51" t="s">
        <v>36</v>
      </c>
      <c r="J653" t="s">
        <v>83</v>
      </c>
      <c r="K653" t="s">
        <v>67</v>
      </c>
      <c r="L653">
        <v>2</v>
      </c>
      <c r="M653" t="s">
        <v>68</v>
      </c>
    </row>
    <row r="654" spans="1:13" x14ac:dyDescent="0.3">
      <c r="A654">
        <v>2023</v>
      </c>
      <c r="B654" s="50">
        <v>44978</v>
      </c>
      <c r="C654">
        <v>2</v>
      </c>
      <c r="D654" s="51" t="s">
        <v>18</v>
      </c>
      <c r="E654">
        <v>568</v>
      </c>
      <c r="F654" s="51" t="s">
        <v>51</v>
      </c>
      <c r="G654">
        <v>3</v>
      </c>
      <c r="H654">
        <v>31.5</v>
      </c>
      <c r="I654" s="51" t="s">
        <v>36</v>
      </c>
      <c r="J654" t="s">
        <v>83</v>
      </c>
      <c r="K654" t="s">
        <v>67</v>
      </c>
      <c r="L654">
        <v>2</v>
      </c>
      <c r="M654" t="s">
        <v>68</v>
      </c>
    </row>
    <row r="655" spans="1:13" x14ac:dyDescent="0.3">
      <c r="A655">
        <v>2023</v>
      </c>
      <c r="B655" s="50">
        <v>44980</v>
      </c>
      <c r="C655">
        <v>2</v>
      </c>
      <c r="D655" s="51" t="s">
        <v>18</v>
      </c>
      <c r="E655">
        <v>570</v>
      </c>
      <c r="F655" s="51" t="s">
        <v>55</v>
      </c>
      <c r="G655">
        <v>3</v>
      </c>
      <c r="H655">
        <v>15</v>
      </c>
      <c r="I655" s="51" t="s">
        <v>36</v>
      </c>
      <c r="J655" t="s">
        <v>83</v>
      </c>
      <c r="K655" t="s">
        <v>67</v>
      </c>
      <c r="L655">
        <v>2</v>
      </c>
      <c r="M655" t="s">
        <v>68</v>
      </c>
    </row>
    <row r="656" spans="1:13" x14ac:dyDescent="0.3">
      <c r="A656">
        <v>2023</v>
      </c>
      <c r="B656" s="50">
        <v>44981</v>
      </c>
      <c r="C656">
        <v>2</v>
      </c>
      <c r="D656" s="51" t="s">
        <v>18</v>
      </c>
      <c r="E656">
        <v>572</v>
      </c>
      <c r="F656" s="51" t="s">
        <v>52</v>
      </c>
      <c r="G656">
        <v>5</v>
      </c>
      <c r="H656">
        <v>30</v>
      </c>
      <c r="I656" s="51" t="s">
        <v>36</v>
      </c>
      <c r="J656" t="s">
        <v>83</v>
      </c>
      <c r="K656" t="s">
        <v>67</v>
      </c>
      <c r="L656">
        <v>2</v>
      </c>
      <c r="M656" t="s">
        <v>68</v>
      </c>
    </row>
    <row r="657" spans="1:13" x14ac:dyDescent="0.3">
      <c r="A657">
        <v>2023</v>
      </c>
      <c r="B657" s="50">
        <v>44982</v>
      </c>
      <c r="C657">
        <v>2</v>
      </c>
      <c r="D657" s="51" t="s">
        <v>18</v>
      </c>
      <c r="E657">
        <v>574</v>
      </c>
      <c r="F657" s="51" t="s">
        <v>53</v>
      </c>
      <c r="G657">
        <v>5</v>
      </c>
      <c r="H657">
        <v>27.5</v>
      </c>
      <c r="I657" s="51" t="s">
        <v>36</v>
      </c>
      <c r="J657" t="s">
        <v>83</v>
      </c>
      <c r="K657" t="s">
        <v>67</v>
      </c>
      <c r="L657">
        <v>2</v>
      </c>
      <c r="M657" t="s">
        <v>68</v>
      </c>
    </row>
    <row r="658" spans="1:13" x14ac:dyDescent="0.3">
      <c r="A658">
        <v>2023</v>
      </c>
      <c r="B658" s="50">
        <v>44984</v>
      </c>
      <c r="C658">
        <v>2</v>
      </c>
      <c r="D658" s="51" t="s">
        <v>18</v>
      </c>
      <c r="E658">
        <v>580</v>
      </c>
      <c r="F658" s="51" t="s">
        <v>25</v>
      </c>
      <c r="G658">
        <v>5</v>
      </c>
      <c r="H658">
        <v>40</v>
      </c>
      <c r="I658" s="51" t="s">
        <v>36</v>
      </c>
      <c r="J658" t="s">
        <v>83</v>
      </c>
      <c r="K658" t="s">
        <v>67</v>
      </c>
      <c r="L658">
        <v>2</v>
      </c>
      <c r="M658" t="s">
        <v>68</v>
      </c>
    </row>
    <row r="659" spans="1:13" x14ac:dyDescent="0.3">
      <c r="A659">
        <v>2023</v>
      </c>
      <c r="B659" s="50">
        <v>44984</v>
      </c>
      <c r="C659">
        <v>2</v>
      </c>
      <c r="D659" s="51" t="s">
        <v>18</v>
      </c>
      <c r="E659">
        <v>518</v>
      </c>
      <c r="F659" s="51" t="s">
        <v>35</v>
      </c>
      <c r="G659">
        <v>3</v>
      </c>
      <c r="H659">
        <v>12</v>
      </c>
      <c r="I659" s="51" t="s">
        <v>36</v>
      </c>
      <c r="J659" t="s">
        <v>83</v>
      </c>
      <c r="K659" t="s">
        <v>67</v>
      </c>
      <c r="L659">
        <v>2</v>
      </c>
      <c r="M659" t="s">
        <v>68</v>
      </c>
    </row>
    <row r="660" spans="1:13" x14ac:dyDescent="0.3">
      <c r="A660">
        <v>2023</v>
      </c>
      <c r="B660" s="50">
        <v>44985</v>
      </c>
      <c r="C660">
        <v>2</v>
      </c>
      <c r="D660" s="51" t="s">
        <v>18</v>
      </c>
      <c r="E660">
        <v>580</v>
      </c>
      <c r="F660" s="51" t="s">
        <v>25</v>
      </c>
      <c r="G660">
        <v>5</v>
      </c>
      <c r="H660">
        <v>40</v>
      </c>
      <c r="I660" s="51" t="s">
        <v>36</v>
      </c>
      <c r="J660" t="s">
        <v>83</v>
      </c>
      <c r="K660" t="s">
        <v>67</v>
      </c>
      <c r="L660">
        <v>2</v>
      </c>
      <c r="M660" t="s">
        <v>68</v>
      </c>
    </row>
    <row r="661" spans="1:13" x14ac:dyDescent="0.3">
      <c r="A661">
        <v>2023</v>
      </c>
      <c r="B661" s="50">
        <v>44985</v>
      </c>
      <c r="C661">
        <v>2</v>
      </c>
      <c r="D661" s="51" t="s">
        <v>18</v>
      </c>
      <c r="E661">
        <v>520</v>
      </c>
      <c r="F661" s="51" t="s">
        <v>19</v>
      </c>
      <c r="G661">
        <v>5</v>
      </c>
      <c r="H661">
        <v>20</v>
      </c>
      <c r="I661" s="51" t="s">
        <v>36</v>
      </c>
      <c r="J661" t="s">
        <v>83</v>
      </c>
      <c r="K661" t="s">
        <v>67</v>
      </c>
      <c r="L661">
        <v>2</v>
      </c>
      <c r="M661" t="s">
        <v>68</v>
      </c>
    </row>
    <row r="662" spans="1:13" x14ac:dyDescent="0.3">
      <c r="A662">
        <v>2023</v>
      </c>
      <c r="B662" s="50">
        <v>44985</v>
      </c>
      <c r="C662">
        <v>2</v>
      </c>
      <c r="D662" s="51" t="s">
        <v>18</v>
      </c>
      <c r="E662">
        <v>530</v>
      </c>
      <c r="F662" s="51" t="s">
        <v>41</v>
      </c>
      <c r="G662">
        <v>7</v>
      </c>
      <c r="H662">
        <v>59.5</v>
      </c>
      <c r="I662" s="51" t="s">
        <v>36</v>
      </c>
      <c r="J662" t="s">
        <v>83</v>
      </c>
      <c r="K662" t="s">
        <v>67</v>
      </c>
      <c r="L662">
        <v>2</v>
      </c>
      <c r="M662" t="s">
        <v>68</v>
      </c>
    </row>
    <row r="663" spans="1:13" x14ac:dyDescent="0.3">
      <c r="A663">
        <v>2023</v>
      </c>
      <c r="B663" s="50">
        <v>44985</v>
      </c>
      <c r="C663">
        <v>2</v>
      </c>
      <c r="D663" s="51" t="s">
        <v>18</v>
      </c>
      <c r="E663">
        <v>540</v>
      </c>
      <c r="F663" s="51" t="s">
        <v>42</v>
      </c>
      <c r="G663">
        <v>10</v>
      </c>
      <c r="H663">
        <v>75</v>
      </c>
      <c r="I663" s="51" t="s">
        <v>36</v>
      </c>
      <c r="J663" t="s">
        <v>83</v>
      </c>
      <c r="K663" t="s">
        <v>67</v>
      </c>
      <c r="L663">
        <v>2</v>
      </c>
      <c r="M663" t="s">
        <v>68</v>
      </c>
    </row>
    <row r="664" spans="1:13" x14ac:dyDescent="0.3">
      <c r="A664">
        <v>2023</v>
      </c>
      <c r="B664" s="50">
        <v>44985</v>
      </c>
      <c r="C664">
        <v>2</v>
      </c>
      <c r="D664" s="51" t="s">
        <v>18</v>
      </c>
      <c r="E664">
        <v>542</v>
      </c>
      <c r="F664" s="51" t="s">
        <v>46</v>
      </c>
      <c r="G664">
        <v>7</v>
      </c>
      <c r="H664">
        <v>70</v>
      </c>
      <c r="I664" s="51" t="s">
        <v>36</v>
      </c>
      <c r="J664" t="s">
        <v>83</v>
      </c>
      <c r="K664" t="s">
        <v>67</v>
      </c>
      <c r="L664">
        <v>2</v>
      </c>
      <c r="M664" t="s">
        <v>68</v>
      </c>
    </row>
    <row r="665" spans="1:13" x14ac:dyDescent="0.3">
      <c r="A665">
        <v>2023</v>
      </c>
      <c r="B665" s="50">
        <v>44985</v>
      </c>
      <c r="C665">
        <v>2</v>
      </c>
      <c r="D665" s="51" t="s">
        <v>18</v>
      </c>
      <c r="E665">
        <v>548</v>
      </c>
      <c r="F665" s="51" t="s">
        <v>37</v>
      </c>
      <c r="G665">
        <v>5</v>
      </c>
      <c r="H665">
        <v>10</v>
      </c>
      <c r="I665" s="51" t="s">
        <v>36</v>
      </c>
      <c r="J665" t="s">
        <v>83</v>
      </c>
      <c r="K665" t="s">
        <v>67</v>
      </c>
      <c r="L665">
        <v>2</v>
      </c>
      <c r="M665" t="s">
        <v>68</v>
      </c>
    </row>
    <row r="666" spans="1:13" x14ac:dyDescent="0.3">
      <c r="A666">
        <v>2023</v>
      </c>
      <c r="B666" s="50">
        <v>44992</v>
      </c>
      <c r="C666">
        <v>3</v>
      </c>
      <c r="D666" s="51" t="s">
        <v>22</v>
      </c>
      <c r="E666">
        <v>576</v>
      </c>
      <c r="F666" s="51" t="s">
        <v>50</v>
      </c>
      <c r="G666">
        <v>4</v>
      </c>
      <c r="H666">
        <v>50</v>
      </c>
      <c r="I666" s="51" t="s">
        <v>36</v>
      </c>
      <c r="J666" t="s">
        <v>83</v>
      </c>
      <c r="K666" t="s">
        <v>67</v>
      </c>
      <c r="L666">
        <v>3</v>
      </c>
      <c r="M666" t="s">
        <v>69</v>
      </c>
    </row>
    <row r="667" spans="1:13" x14ac:dyDescent="0.3">
      <c r="A667">
        <v>2023</v>
      </c>
      <c r="B667" s="50">
        <v>44993</v>
      </c>
      <c r="C667">
        <v>3</v>
      </c>
      <c r="D667" s="51" t="s">
        <v>22</v>
      </c>
      <c r="E667">
        <v>578</v>
      </c>
      <c r="F667" s="51" t="s">
        <v>47</v>
      </c>
      <c r="G667">
        <v>4</v>
      </c>
      <c r="H667">
        <v>62</v>
      </c>
      <c r="I667" s="51" t="s">
        <v>36</v>
      </c>
      <c r="J667" t="s">
        <v>83</v>
      </c>
      <c r="K667" t="s">
        <v>67</v>
      </c>
      <c r="L667">
        <v>3</v>
      </c>
      <c r="M667" t="s">
        <v>69</v>
      </c>
    </row>
    <row r="668" spans="1:13" x14ac:dyDescent="0.3">
      <c r="A668">
        <v>2023</v>
      </c>
      <c r="B668" s="50">
        <v>44999</v>
      </c>
      <c r="C668">
        <v>3</v>
      </c>
      <c r="D668" s="51" t="s">
        <v>22</v>
      </c>
      <c r="E668">
        <v>580</v>
      </c>
      <c r="F668" s="51" t="s">
        <v>25</v>
      </c>
      <c r="G668">
        <v>7</v>
      </c>
      <c r="H668">
        <v>56</v>
      </c>
      <c r="I668" s="51" t="s">
        <v>36</v>
      </c>
      <c r="J668" t="s">
        <v>83</v>
      </c>
      <c r="K668" t="s">
        <v>67</v>
      </c>
      <c r="L668">
        <v>3</v>
      </c>
      <c r="M668" t="s">
        <v>69</v>
      </c>
    </row>
    <row r="669" spans="1:13" x14ac:dyDescent="0.3">
      <c r="A669">
        <v>2023</v>
      </c>
      <c r="B669" s="50">
        <v>45000</v>
      </c>
      <c r="C669">
        <v>3</v>
      </c>
      <c r="D669" s="51" t="s">
        <v>22</v>
      </c>
      <c r="E669">
        <v>510</v>
      </c>
      <c r="F669" s="51" t="s">
        <v>38</v>
      </c>
      <c r="G669">
        <v>5</v>
      </c>
      <c r="H669">
        <v>30</v>
      </c>
      <c r="I669" s="51" t="s">
        <v>36</v>
      </c>
      <c r="J669" t="s">
        <v>83</v>
      </c>
      <c r="K669" t="s">
        <v>67</v>
      </c>
      <c r="L669">
        <v>3</v>
      </c>
      <c r="M669" t="s">
        <v>69</v>
      </c>
    </row>
    <row r="670" spans="1:13" x14ac:dyDescent="0.3">
      <c r="A670">
        <v>2023</v>
      </c>
      <c r="B670" s="50">
        <v>45000</v>
      </c>
      <c r="C670">
        <v>3</v>
      </c>
      <c r="D670" s="51" t="s">
        <v>22</v>
      </c>
      <c r="E670">
        <v>580</v>
      </c>
      <c r="F670" s="51" t="s">
        <v>25</v>
      </c>
      <c r="G670">
        <v>5</v>
      </c>
      <c r="H670">
        <v>40</v>
      </c>
      <c r="I670" s="51" t="s">
        <v>36</v>
      </c>
      <c r="J670" t="s">
        <v>83</v>
      </c>
      <c r="K670" t="s">
        <v>67</v>
      </c>
      <c r="L670">
        <v>3</v>
      </c>
      <c r="M670" t="s">
        <v>69</v>
      </c>
    </row>
    <row r="671" spans="1:13" x14ac:dyDescent="0.3">
      <c r="A671">
        <v>2023</v>
      </c>
      <c r="B671" s="50">
        <v>45001</v>
      </c>
      <c r="C671">
        <v>3</v>
      </c>
      <c r="D671" s="51" t="s">
        <v>22</v>
      </c>
      <c r="E671">
        <v>514</v>
      </c>
      <c r="F671" s="51" t="s">
        <v>40</v>
      </c>
      <c r="G671">
        <v>7</v>
      </c>
      <c r="H671">
        <v>45.5</v>
      </c>
      <c r="I671" s="51" t="s">
        <v>36</v>
      </c>
      <c r="J671" t="s">
        <v>83</v>
      </c>
      <c r="K671" t="s">
        <v>67</v>
      </c>
      <c r="L671">
        <v>3</v>
      </c>
      <c r="M671" t="s">
        <v>69</v>
      </c>
    </row>
    <row r="672" spans="1:13" x14ac:dyDescent="0.3">
      <c r="A672">
        <v>2023</v>
      </c>
      <c r="B672" s="50">
        <v>45001</v>
      </c>
      <c r="C672">
        <v>3</v>
      </c>
      <c r="D672" s="51" t="s">
        <v>22</v>
      </c>
      <c r="E672">
        <v>580</v>
      </c>
      <c r="F672" s="51" t="s">
        <v>25</v>
      </c>
      <c r="G672">
        <v>5</v>
      </c>
      <c r="H672">
        <v>40</v>
      </c>
      <c r="I672" s="51" t="s">
        <v>36</v>
      </c>
      <c r="J672" t="s">
        <v>83</v>
      </c>
      <c r="K672" t="s">
        <v>67</v>
      </c>
      <c r="L672">
        <v>3</v>
      </c>
      <c r="M672" t="s">
        <v>69</v>
      </c>
    </row>
    <row r="673" spans="1:13" x14ac:dyDescent="0.3">
      <c r="A673">
        <v>2023</v>
      </c>
      <c r="B673" s="50">
        <v>45002</v>
      </c>
      <c r="C673">
        <v>3</v>
      </c>
      <c r="D673" s="51" t="s">
        <v>22</v>
      </c>
      <c r="E673">
        <v>516</v>
      </c>
      <c r="F673" s="51" t="s">
        <v>39</v>
      </c>
      <c r="G673">
        <v>5</v>
      </c>
      <c r="H673">
        <v>22.5</v>
      </c>
      <c r="I673" s="51" t="s">
        <v>36</v>
      </c>
      <c r="J673" t="s">
        <v>83</v>
      </c>
      <c r="K673" t="s">
        <v>67</v>
      </c>
      <c r="L673">
        <v>3</v>
      </c>
      <c r="M673" t="s">
        <v>69</v>
      </c>
    </row>
    <row r="674" spans="1:13" x14ac:dyDescent="0.3">
      <c r="A674">
        <v>2023</v>
      </c>
      <c r="B674" s="50">
        <v>45002</v>
      </c>
      <c r="C674">
        <v>3</v>
      </c>
      <c r="D674" s="51" t="s">
        <v>22</v>
      </c>
      <c r="E674">
        <v>580</v>
      </c>
      <c r="F674" s="51" t="s">
        <v>25</v>
      </c>
      <c r="G674">
        <v>5</v>
      </c>
      <c r="H674">
        <v>40</v>
      </c>
      <c r="I674" s="51" t="s">
        <v>36</v>
      </c>
      <c r="J674" t="s">
        <v>83</v>
      </c>
      <c r="K674" t="s">
        <v>67</v>
      </c>
      <c r="L674">
        <v>3</v>
      </c>
      <c r="M674" t="s">
        <v>69</v>
      </c>
    </row>
    <row r="675" spans="1:13" x14ac:dyDescent="0.3">
      <c r="A675">
        <v>2023</v>
      </c>
      <c r="B675" s="50">
        <v>45003</v>
      </c>
      <c r="C675">
        <v>3</v>
      </c>
      <c r="D675" s="51" t="s">
        <v>22</v>
      </c>
      <c r="E675">
        <v>518</v>
      </c>
      <c r="F675" s="51" t="s">
        <v>35</v>
      </c>
      <c r="G675">
        <v>3</v>
      </c>
      <c r="H675">
        <v>12</v>
      </c>
      <c r="I675" s="51" t="s">
        <v>36</v>
      </c>
      <c r="J675" t="s">
        <v>83</v>
      </c>
      <c r="K675" t="s">
        <v>67</v>
      </c>
      <c r="L675">
        <v>3</v>
      </c>
      <c r="M675" t="s">
        <v>69</v>
      </c>
    </row>
    <row r="676" spans="1:13" x14ac:dyDescent="0.3">
      <c r="A676">
        <v>2023</v>
      </c>
      <c r="B676" s="50">
        <v>45003</v>
      </c>
      <c r="C676">
        <v>3</v>
      </c>
      <c r="D676" s="51" t="s">
        <v>22</v>
      </c>
      <c r="E676">
        <v>580</v>
      </c>
      <c r="F676" s="51" t="s">
        <v>25</v>
      </c>
      <c r="G676">
        <v>5</v>
      </c>
      <c r="H676">
        <v>40</v>
      </c>
      <c r="I676" s="51" t="s">
        <v>36</v>
      </c>
      <c r="J676" t="s">
        <v>83</v>
      </c>
      <c r="K676" t="s">
        <v>67</v>
      </c>
      <c r="L676">
        <v>3</v>
      </c>
      <c r="M676" t="s">
        <v>69</v>
      </c>
    </row>
    <row r="677" spans="1:13" x14ac:dyDescent="0.3">
      <c r="A677">
        <v>2023</v>
      </c>
      <c r="B677" s="50">
        <v>45004</v>
      </c>
      <c r="C677">
        <v>3</v>
      </c>
      <c r="D677" s="51" t="s">
        <v>22</v>
      </c>
      <c r="E677">
        <v>520</v>
      </c>
      <c r="F677" s="51" t="s">
        <v>19</v>
      </c>
      <c r="G677">
        <v>5</v>
      </c>
      <c r="H677">
        <v>20</v>
      </c>
      <c r="I677" s="51" t="s">
        <v>36</v>
      </c>
      <c r="J677" t="s">
        <v>83</v>
      </c>
      <c r="K677" t="s">
        <v>67</v>
      </c>
      <c r="L677">
        <v>3</v>
      </c>
      <c r="M677" t="s">
        <v>69</v>
      </c>
    </row>
    <row r="678" spans="1:13" x14ac:dyDescent="0.3">
      <c r="A678">
        <v>2023</v>
      </c>
      <c r="B678" s="50">
        <v>45005</v>
      </c>
      <c r="C678">
        <v>3</v>
      </c>
      <c r="D678" s="51" t="s">
        <v>22</v>
      </c>
      <c r="E678">
        <v>530</v>
      </c>
      <c r="F678" s="51" t="s">
        <v>41</v>
      </c>
      <c r="G678">
        <v>7</v>
      </c>
      <c r="H678">
        <v>59.5</v>
      </c>
      <c r="I678" s="51" t="s">
        <v>36</v>
      </c>
      <c r="J678" t="s">
        <v>83</v>
      </c>
      <c r="K678" t="s">
        <v>67</v>
      </c>
      <c r="L678">
        <v>3</v>
      </c>
      <c r="M678" t="s">
        <v>69</v>
      </c>
    </row>
    <row r="679" spans="1:13" x14ac:dyDescent="0.3">
      <c r="A679">
        <v>2023</v>
      </c>
      <c r="B679" s="50">
        <v>45005</v>
      </c>
      <c r="C679">
        <v>3</v>
      </c>
      <c r="D679" s="51" t="s">
        <v>22</v>
      </c>
      <c r="E679">
        <v>540</v>
      </c>
      <c r="F679" s="51" t="s">
        <v>42</v>
      </c>
      <c r="G679">
        <v>10</v>
      </c>
      <c r="H679">
        <v>75</v>
      </c>
      <c r="I679" s="51" t="s">
        <v>36</v>
      </c>
      <c r="J679" t="s">
        <v>83</v>
      </c>
      <c r="K679" t="s">
        <v>67</v>
      </c>
      <c r="L679">
        <v>3</v>
      </c>
      <c r="M679" t="s">
        <v>69</v>
      </c>
    </row>
    <row r="680" spans="1:13" x14ac:dyDescent="0.3">
      <c r="A680">
        <v>2023</v>
      </c>
      <c r="B680" s="50">
        <v>45005</v>
      </c>
      <c r="C680">
        <v>3</v>
      </c>
      <c r="D680" s="51" t="s">
        <v>22</v>
      </c>
      <c r="E680">
        <v>542</v>
      </c>
      <c r="F680" s="51" t="s">
        <v>46</v>
      </c>
      <c r="G680">
        <v>7</v>
      </c>
      <c r="H680">
        <v>70</v>
      </c>
      <c r="I680" s="51" t="s">
        <v>36</v>
      </c>
      <c r="J680" t="s">
        <v>83</v>
      </c>
      <c r="K680" t="s">
        <v>67</v>
      </c>
      <c r="L680">
        <v>3</v>
      </c>
      <c r="M680" t="s">
        <v>69</v>
      </c>
    </row>
    <row r="681" spans="1:13" x14ac:dyDescent="0.3">
      <c r="A681">
        <v>2023</v>
      </c>
      <c r="B681" s="50">
        <v>45005</v>
      </c>
      <c r="C681">
        <v>3</v>
      </c>
      <c r="D681" s="51" t="s">
        <v>22</v>
      </c>
      <c r="E681">
        <v>548</v>
      </c>
      <c r="F681" s="51" t="s">
        <v>37</v>
      </c>
      <c r="G681">
        <v>5</v>
      </c>
      <c r="H681">
        <v>10</v>
      </c>
      <c r="I681" s="51" t="s">
        <v>36</v>
      </c>
      <c r="J681" t="s">
        <v>83</v>
      </c>
      <c r="K681" t="s">
        <v>67</v>
      </c>
      <c r="L681">
        <v>3</v>
      </c>
      <c r="M681" t="s">
        <v>69</v>
      </c>
    </row>
    <row r="682" spans="1:13" x14ac:dyDescent="0.3">
      <c r="A682">
        <v>2023</v>
      </c>
      <c r="B682" s="50">
        <v>45005</v>
      </c>
      <c r="C682">
        <v>3</v>
      </c>
      <c r="D682" s="51" t="s">
        <v>22</v>
      </c>
      <c r="E682">
        <v>560</v>
      </c>
      <c r="F682" s="51" t="s">
        <v>45</v>
      </c>
      <c r="G682">
        <v>10</v>
      </c>
      <c r="H682">
        <v>80</v>
      </c>
      <c r="I682" s="51" t="s">
        <v>36</v>
      </c>
      <c r="J682" t="s">
        <v>83</v>
      </c>
      <c r="K682" t="s">
        <v>67</v>
      </c>
      <c r="L682">
        <v>3</v>
      </c>
      <c r="M682" t="s">
        <v>69</v>
      </c>
    </row>
    <row r="683" spans="1:13" x14ac:dyDescent="0.3">
      <c r="A683">
        <v>2023</v>
      </c>
      <c r="B683" s="50">
        <v>45005</v>
      </c>
      <c r="C683">
        <v>3</v>
      </c>
      <c r="D683" s="51" t="s">
        <v>22</v>
      </c>
      <c r="E683">
        <v>572</v>
      </c>
      <c r="F683" s="51" t="s">
        <v>52</v>
      </c>
      <c r="G683">
        <v>6</v>
      </c>
      <c r="H683">
        <v>36</v>
      </c>
      <c r="I683" s="51" t="s">
        <v>36</v>
      </c>
      <c r="J683" t="s">
        <v>83</v>
      </c>
      <c r="K683" t="s">
        <v>67</v>
      </c>
      <c r="L683">
        <v>3</v>
      </c>
      <c r="M683" t="s">
        <v>69</v>
      </c>
    </row>
    <row r="684" spans="1:13" x14ac:dyDescent="0.3">
      <c r="A684">
        <v>2023</v>
      </c>
      <c r="B684" s="50">
        <v>45005</v>
      </c>
      <c r="C684">
        <v>3</v>
      </c>
      <c r="D684" s="51" t="s">
        <v>22</v>
      </c>
      <c r="E684">
        <v>574</v>
      </c>
      <c r="F684" s="51" t="s">
        <v>53</v>
      </c>
      <c r="G684">
        <v>5</v>
      </c>
      <c r="H684">
        <v>27.5</v>
      </c>
      <c r="I684" s="51" t="s">
        <v>36</v>
      </c>
      <c r="J684" t="s">
        <v>83</v>
      </c>
      <c r="K684" t="s">
        <v>67</v>
      </c>
      <c r="L684">
        <v>3</v>
      </c>
      <c r="M684" t="s">
        <v>69</v>
      </c>
    </row>
    <row r="685" spans="1:13" x14ac:dyDescent="0.3">
      <c r="A685">
        <v>2023</v>
      </c>
      <c r="B685" s="50">
        <v>45006</v>
      </c>
      <c r="C685">
        <v>3</v>
      </c>
      <c r="D685" s="51" t="s">
        <v>22</v>
      </c>
      <c r="E685">
        <v>568</v>
      </c>
      <c r="F685" s="51" t="s">
        <v>51</v>
      </c>
      <c r="G685">
        <v>7</v>
      </c>
      <c r="H685">
        <v>73.5</v>
      </c>
      <c r="I685" s="51" t="s">
        <v>36</v>
      </c>
      <c r="J685" t="s">
        <v>83</v>
      </c>
      <c r="K685" t="s">
        <v>67</v>
      </c>
      <c r="L685">
        <v>3</v>
      </c>
      <c r="M685" t="s">
        <v>69</v>
      </c>
    </row>
    <row r="686" spans="1:13" x14ac:dyDescent="0.3">
      <c r="A686">
        <v>2023</v>
      </c>
      <c r="B686" s="50">
        <v>45007</v>
      </c>
      <c r="C686">
        <v>3</v>
      </c>
      <c r="D686" s="51" t="s">
        <v>22</v>
      </c>
      <c r="E686">
        <v>580</v>
      </c>
      <c r="F686" s="51" t="s">
        <v>25</v>
      </c>
      <c r="G686">
        <v>12</v>
      </c>
      <c r="H686">
        <v>96</v>
      </c>
      <c r="I686" s="51" t="s">
        <v>36</v>
      </c>
      <c r="J686" t="s">
        <v>83</v>
      </c>
      <c r="K686" t="s">
        <v>67</v>
      </c>
      <c r="L686">
        <v>3</v>
      </c>
      <c r="M686" t="s">
        <v>69</v>
      </c>
    </row>
    <row r="687" spans="1:13" x14ac:dyDescent="0.3">
      <c r="A687">
        <v>2023</v>
      </c>
      <c r="B687" s="50">
        <v>45007</v>
      </c>
      <c r="C687">
        <v>3</v>
      </c>
      <c r="D687" s="51" t="s">
        <v>22</v>
      </c>
      <c r="E687">
        <v>580</v>
      </c>
      <c r="F687" s="51" t="s">
        <v>25</v>
      </c>
      <c r="G687">
        <v>12</v>
      </c>
      <c r="H687">
        <v>96</v>
      </c>
      <c r="I687" s="51" t="s">
        <v>36</v>
      </c>
      <c r="J687" t="s">
        <v>83</v>
      </c>
      <c r="K687" t="s">
        <v>67</v>
      </c>
      <c r="L687">
        <v>3</v>
      </c>
      <c r="M687" t="s">
        <v>69</v>
      </c>
    </row>
    <row r="688" spans="1:13" x14ac:dyDescent="0.3">
      <c r="A688">
        <v>2023</v>
      </c>
      <c r="B688" s="50">
        <v>45007</v>
      </c>
      <c r="C688">
        <v>3</v>
      </c>
      <c r="D688" s="51" t="s">
        <v>22</v>
      </c>
      <c r="E688">
        <v>576</v>
      </c>
      <c r="F688" s="51" t="s">
        <v>50</v>
      </c>
      <c r="G688">
        <v>10</v>
      </c>
      <c r="H688">
        <v>125</v>
      </c>
      <c r="I688" s="51" t="s">
        <v>36</v>
      </c>
      <c r="J688" t="s">
        <v>83</v>
      </c>
      <c r="K688" t="s">
        <v>67</v>
      </c>
      <c r="L688">
        <v>3</v>
      </c>
      <c r="M688" t="s">
        <v>69</v>
      </c>
    </row>
  </sheetData>
  <phoneticPr fontId="7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85397-9BD4-4244-9CC8-4830753673BE}">
  <dimension ref="A1:F17"/>
  <sheetViews>
    <sheetView workbookViewId="0">
      <selection activeCell="E4" sqref="E4"/>
    </sheetView>
  </sheetViews>
  <sheetFormatPr defaultRowHeight="14.4" x14ac:dyDescent="0.3"/>
  <cols>
    <col min="1" max="1" width="13.6640625" bestFit="1" customWidth="1"/>
    <col min="2" max="2" width="18.88671875" bestFit="1" customWidth="1"/>
    <col min="3" max="3" width="14.21875" bestFit="1" customWidth="1"/>
    <col min="4" max="4" width="10.77734375" bestFit="1" customWidth="1"/>
    <col min="5" max="5" width="17.21875" bestFit="1" customWidth="1"/>
    <col min="6" max="6" width="18.88671875" bestFit="1" customWidth="1"/>
    <col min="7" max="160" width="10.77734375" bestFit="1" customWidth="1"/>
    <col min="161" max="161" width="10" bestFit="1" customWidth="1"/>
  </cols>
  <sheetData>
    <row r="1" spans="1:6" x14ac:dyDescent="0.3">
      <c r="A1" t="s">
        <v>57</v>
      </c>
      <c r="B1" t="s">
        <v>58</v>
      </c>
      <c r="C1" t="s">
        <v>59</v>
      </c>
      <c r="E1" s="52" t="s">
        <v>60</v>
      </c>
      <c r="F1" t="s">
        <v>57</v>
      </c>
    </row>
    <row r="2" spans="1:6" x14ac:dyDescent="0.3">
      <c r="A2" s="54">
        <v>26483</v>
      </c>
      <c r="B2" s="51">
        <v>3868</v>
      </c>
      <c r="C2" s="54">
        <v>38.548762736535664</v>
      </c>
      <c r="E2" s="53" t="s">
        <v>25</v>
      </c>
      <c r="F2" s="54">
        <v>4528</v>
      </c>
    </row>
    <row r="3" spans="1:6" x14ac:dyDescent="0.3">
      <c r="E3" s="53" t="s">
        <v>38</v>
      </c>
      <c r="F3" s="54">
        <v>2358</v>
      </c>
    </row>
    <row r="4" spans="1:6" x14ac:dyDescent="0.3">
      <c r="A4" s="52" t="s">
        <v>60</v>
      </c>
      <c r="B4" t="s">
        <v>57</v>
      </c>
      <c r="E4" s="53" t="s">
        <v>23</v>
      </c>
      <c r="F4" s="54">
        <v>2001</v>
      </c>
    </row>
    <row r="5" spans="1:6" x14ac:dyDescent="0.3">
      <c r="A5" s="53" t="s">
        <v>82</v>
      </c>
      <c r="B5" s="54">
        <v>4368.5</v>
      </c>
      <c r="E5" s="53" t="s">
        <v>46</v>
      </c>
      <c r="F5" s="54">
        <v>1890</v>
      </c>
    </row>
    <row r="6" spans="1:6" x14ac:dyDescent="0.3">
      <c r="A6" s="53" t="s">
        <v>68</v>
      </c>
      <c r="B6" s="54">
        <v>3818.5</v>
      </c>
      <c r="E6" s="53" t="s">
        <v>50</v>
      </c>
      <c r="F6" s="54">
        <v>1887.5</v>
      </c>
    </row>
    <row r="7" spans="1:6" x14ac:dyDescent="0.3">
      <c r="A7" s="53" t="s">
        <v>69</v>
      </c>
      <c r="B7" s="54">
        <v>3941</v>
      </c>
      <c r="E7" s="53" t="s">
        <v>61</v>
      </c>
      <c r="F7" s="54">
        <v>12664.5</v>
      </c>
    </row>
    <row r="8" spans="1:6" x14ac:dyDescent="0.3">
      <c r="A8" s="53" t="s">
        <v>71</v>
      </c>
      <c r="B8" s="54">
        <v>1190</v>
      </c>
    </row>
    <row r="9" spans="1:6" x14ac:dyDescent="0.3">
      <c r="A9" s="53" t="s">
        <v>72</v>
      </c>
      <c r="B9" s="54">
        <v>1756</v>
      </c>
      <c r="E9" s="52" t="s">
        <v>60</v>
      </c>
      <c r="F9" t="s">
        <v>58</v>
      </c>
    </row>
    <row r="10" spans="1:6" x14ac:dyDescent="0.3">
      <c r="A10" s="53" t="s">
        <v>73</v>
      </c>
      <c r="B10" s="54">
        <v>1892.5</v>
      </c>
      <c r="E10" s="53" t="s">
        <v>37</v>
      </c>
      <c r="F10" s="51">
        <v>299</v>
      </c>
    </row>
    <row r="11" spans="1:6" x14ac:dyDescent="0.3">
      <c r="A11" s="53" t="s">
        <v>75</v>
      </c>
      <c r="B11" s="54">
        <v>1582.5</v>
      </c>
      <c r="E11" s="53" t="s">
        <v>38</v>
      </c>
      <c r="F11" s="51">
        <v>393</v>
      </c>
    </row>
    <row r="12" spans="1:6" x14ac:dyDescent="0.3">
      <c r="A12" s="53" t="s">
        <v>76</v>
      </c>
      <c r="B12" s="54">
        <v>1781</v>
      </c>
      <c r="E12" s="53" t="s">
        <v>25</v>
      </c>
      <c r="F12" s="51">
        <v>566</v>
      </c>
    </row>
    <row r="13" spans="1:6" x14ac:dyDescent="0.3">
      <c r="A13" s="53" t="s">
        <v>77</v>
      </c>
      <c r="B13" s="54">
        <v>1242</v>
      </c>
      <c r="E13" s="53" t="s">
        <v>61</v>
      </c>
      <c r="F13" s="51">
        <v>1258</v>
      </c>
    </row>
    <row r="14" spans="1:6" x14ac:dyDescent="0.3">
      <c r="A14" s="53" t="s">
        <v>79</v>
      </c>
      <c r="B14" s="54">
        <v>1566.5</v>
      </c>
    </row>
    <row r="15" spans="1:6" x14ac:dyDescent="0.3">
      <c r="A15" s="53" t="s">
        <v>80</v>
      </c>
      <c r="B15" s="54">
        <v>1446.5</v>
      </c>
    </row>
    <row r="16" spans="1:6" x14ac:dyDescent="0.3">
      <c r="A16" s="53" t="s">
        <v>81</v>
      </c>
      <c r="B16" s="54">
        <v>1898</v>
      </c>
    </row>
    <row r="17" spans="1:2" x14ac:dyDescent="0.3">
      <c r="A17" s="53" t="s">
        <v>61</v>
      </c>
      <c r="B17" s="54">
        <v>26483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03161-6D80-4C93-904A-44753118E401}">
  <dimension ref="B1:BH42"/>
  <sheetViews>
    <sheetView showGridLines="0" workbookViewId="0">
      <selection activeCell="BN49" sqref="BN49"/>
    </sheetView>
  </sheetViews>
  <sheetFormatPr defaultColWidth="2.33203125" defaultRowHeight="9" customHeight="1" x14ac:dyDescent="0.3"/>
  <sheetData>
    <row r="1" spans="2:58" ht="9" customHeight="1" thickBot="1" x14ac:dyDescent="0.35"/>
    <row r="2" spans="2:58" ht="9" customHeight="1" thickTop="1" x14ac:dyDescent="0.3">
      <c r="P2" s="11">
        <f>GETPIVOTDATA("[Measures].[Soma de Preço]",Cálculos!$A$1)</f>
        <v>26483</v>
      </c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3"/>
      <c r="AE2" s="17">
        <f>GETPIVOTDATA("[Measures].[Soma de Quantidade]",Cálculos!$B$1)</f>
        <v>3868</v>
      </c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9"/>
      <c r="AT2" s="23">
        <f>GETPIVOTDATA("[Measures].[Média de Preço]",Cálculos!$C$1)</f>
        <v>38.548762736535664</v>
      </c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5"/>
    </row>
    <row r="3" spans="2:58" ht="9" customHeight="1" x14ac:dyDescent="0.3">
      <c r="P3" s="14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6"/>
      <c r="AE3" s="20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2"/>
      <c r="AT3" s="26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8"/>
    </row>
    <row r="4" spans="2:58" ht="9" customHeight="1" x14ac:dyDescent="0.3">
      <c r="P4" s="14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E4" s="20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2"/>
      <c r="AT4" s="26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8"/>
    </row>
    <row r="5" spans="2:58" ht="9" customHeight="1" x14ac:dyDescent="0.3">
      <c r="P5" s="14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6"/>
      <c r="AE5" s="20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2"/>
      <c r="AT5" s="26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8"/>
    </row>
    <row r="6" spans="2:58" ht="9" customHeight="1" x14ac:dyDescent="0.3">
      <c r="P6" s="29" t="s">
        <v>8</v>
      </c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4"/>
      <c r="AE6" s="29" t="s">
        <v>7</v>
      </c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3"/>
      <c r="AT6" s="29" t="s">
        <v>6</v>
      </c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3"/>
    </row>
    <row r="7" spans="2:58" ht="9" customHeight="1" thickBot="1" x14ac:dyDescent="0.35">
      <c r="P7" s="31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1"/>
      <c r="AE7" s="31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4"/>
      <c r="AT7" s="31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4"/>
    </row>
    <row r="8" spans="2:58" ht="9" customHeight="1" thickTop="1" thickBot="1" x14ac:dyDescent="0.35"/>
    <row r="9" spans="2:58" ht="9" customHeight="1" thickTop="1" x14ac:dyDescent="0.3">
      <c r="B9" s="41" t="s">
        <v>5</v>
      </c>
      <c r="C9" s="42"/>
      <c r="D9" s="42"/>
      <c r="E9" s="42"/>
      <c r="F9" s="42"/>
      <c r="G9" s="42"/>
      <c r="H9" s="42"/>
      <c r="I9" s="42"/>
      <c r="J9" s="42"/>
      <c r="K9" s="42"/>
      <c r="L9" s="42"/>
      <c r="M9" s="43"/>
      <c r="O9" s="35" t="s">
        <v>4</v>
      </c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7"/>
      <c r="AJ9" s="35" t="s">
        <v>3</v>
      </c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7"/>
    </row>
    <row r="10" spans="2:58" ht="9" customHeight="1" thickBot="1" x14ac:dyDescent="0.35">
      <c r="B10" s="44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6"/>
      <c r="O10" s="38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40"/>
      <c r="AJ10" s="38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40"/>
    </row>
    <row r="11" spans="2:58" ht="9" customHeight="1" thickTop="1" x14ac:dyDescent="0.3">
      <c r="B11" s="9"/>
      <c r="C11" s="8"/>
      <c r="D11" s="8"/>
      <c r="E11" s="8"/>
      <c r="F11" s="8"/>
      <c r="G11" s="8"/>
      <c r="H11" s="8"/>
      <c r="I11" s="8"/>
      <c r="J11" s="8"/>
      <c r="K11" s="8"/>
      <c r="L11" s="8"/>
      <c r="M11" s="7"/>
      <c r="O11" s="5"/>
      <c r="AH11" s="4"/>
      <c r="AJ11" s="5"/>
      <c r="BF11" s="4"/>
    </row>
    <row r="12" spans="2:58" ht="9" customHeight="1" x14ac:dyDescent="0.3">
      <c r="B12" s="5"/>
      <c r="M12" s="4"/>
      <c r="O12" s="5"/>
      <c r="AH12" s="4"/>
      <c r="AJ12" s="5"/>
      <c r="BF12" s="4"/>
    </row>
    <row r="13" spans="2:58" ht="9" customHeight="1" x14ac:dyDescent="0.3">
      <c r="B13" s="5"/>
      <c r="M13" s="4"/>
      <c r="O13" s="5"/>
      <c r="AH13" s="4"/>
      <c r="AJ13" s="5"/>
      <c r="BF13" s="4"/>
    </row>
    <row r="14" spans="2:58" ht="9" customHeight="1" thickBot="1" x14ac:dyDescent="0.35"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1"/>
      <c r="O14" s="5"/>
      <c r="AH14" s="4"/>
      <c r="AJ14" s="5"/>
      <c r="BF14" s="4"/>
    </row>
    <row r="15" spans="2:58" ht="9" customHeight="1" thickTop="1" x14ac:dyDescent="0.3">
      <c r="O15" s="5"/>
      <c r="AH15" s="4"/>
      <c r="AJ15" s="5"/>
      <c r="BF15" s="4"/>
    </row>
    <row r="16" spans="2:58" ht="9" customHeight="1" thickBot="1" x14ac:dyDescent="0.35">
      <c r="O16" s="5"/>
      <c r="AH16" s="4"/>
      <c r="AJ16" s="5"/>
      <c r="BF16" s="4"/>
    </row>
    <row r="17" spans="2:60" ht="9" customHeight="1" thickTop="1" x14ac:dyDescent="0.3">
      <c r="B17" s="41" t="s">
        <v>2</v>
      </c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3"/>
      <c r="O17" s="5"/>
      <c r="AH17" s="4"/>
      <c r="AJ17" s="5"/>
      <c r="BF17" s="4"/>
    </row>
    <row r="18" spans="2:60" ht="9" customHeight="1" thickBot="1" x14ac:dyDescent="0.35">
      <c r="B18" s="44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6"/>
      <c r="O18" s="5"/>
      <c r="AH18" s="4"/>
      <c r="AJ18" s="5"/>
      <c r="BF18" s="4"/>
    </row>
    <row r="19" spans="2:60" ht="9" customHeight="1" thickTop="1" x14ac:dyDescent="0.3">
      <c r="B19" s="9"/>
      <c r="C19" s="8"/>
      <c r="D19" s="8"/>
      <c r="E19" s="8"/>
      <c r="F19" s="8"/>
      <c r="G19" s="8"/>
      <c r="H19" s="8"/>
      <c r="I19" s="8"/>
      <c r="J19" s="8"/>
      <c r="K19" s="8"/>
      <c r="L19" s="8"/>
      <c r="M19" s="7"/>
      <c r="O19" s="5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H19" s="4"/>
      <c r="AJ19" s="5"/>
      <c r="BF19" s="4"/>
    </row>
    <row r="20" spans="2:60" ht="9" customHeight="1" x14ac:dyDescent="0.3">
      <c r="B20" s="5"/>
      <c r="M20" s="4"/>
      <c r="O20" s="5"/>
      <c r="AH20" s="4"/>
      <c r="AJ20" s="5"/>
      <c r="BF20" s="4"/>
    </row>
    <row r="21" spans="2:60" ht="9" customHeight="1" thickBot="1" x14ac:dyDescent="0.35">
      <c r="B21" s="5"/>
      <c r="M21" s="4"/>
      <c r="O21" s="3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1"/>
      <c r="AJ21" s="3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1"/>
    </row>
    <row r="22" spans="2:60" ht="9" customHeight="1" thickTop="1" thickBot="1" x14ac:dyDescent="0.35">
      <c r="B22" s="3"/>
      <c r="C22" s="2"/>
      <c r="D22" s="2"/>
      <c r="E22" s="2"/>
      <c r="F22" s="2"/>
      <c r="G22" s="2"/>
      <c r="H22" s="2"/>
      <c r="I22" s="2"/>
      <c r="J22" s="2"/>
      <c r="K22" s="2"/>
      <c r="L22" s="2"/>
      <c r="M22" s="1"/>
    </row>
    <row r="23" spans="2:60" ht="9" customHeight="1" thickTop="1" thickBot="1" x14ac:dyDescent="0.35">
      <c r="O23" s="35" t="s">
        <v>1</v>
      </c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7"/>
    </row>
    <row r="24" spans="2:60" ht="9" customHeight="1" thickTop="1" x14ac:dyDescent="0.3">
      <c r="B24" s="41" t="s">
        <v>0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3"/>
      <c r="O24" s="38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40"/>
    </row>
    <row r="25" spans="2:60" ht="9" customHeight="1" thickBot="1" x14ac:dyDescent="0.35">
      <c r="B25" s="47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9"/>
      <c r="O25" s="5"/>
      <c r="BF25" s="4"/>
      <c r="BG25" s="6"/>
      <c r="BH25" s="6"/>
    </row>
    <row r="26" spans="2:60" ht="9" customHeight="1" thickTop="1" x14ac:dyDescent="0.3">
      <c r="B26" s="9"/>
      <c r="C26" s="8"/>
      <c r="D26" s="8"/>
      <c r="E26" s="8"/>
      <c r="F26" s="8"/>
      <c r="G26" s="8"/>
      <c r="H26" s="8"/>
      <c r="I26" s="8"/>
      <c r="J26" s="8"/>
      <c r="K26" s="8"/>
      <c r="L26" s="8"/>
      <c r="M26" s="7"/>
      <c r="O26" s="5"/>
      <c r="BF26" s="4"/>
      <c r="BG26" s="6"/>
      <c r="BH26" s="6"/>
    </row>
    <row r="27" spans="2:60" ht="9" customHeight="1" x14ac:dyDescent="0.3">
      <c r="B27" s="5"/>
      <c r="M27" s="4"/>
      <c r="O27" s="5"/>
      <c r="BF27" s="4"/>
    </row>
    <row r="28" spans="2:60" ht="9" customHeight="1" x14ac:dyDescent="0.3">
      <c r="B28" s="5"/>
      <c r="M28" s="4"/>
      <c r="O28" s="5"/>
      <c r="BF28" s="4"/>
    </row>
    <row r="29" spans="2:60" ht="9" customHeight="1" x14ac:dyDescent="0.3">
      <c r="B29" s="5"/>
      <c r="M29" s="4"/>
      <c r="O29" s="5"/>
      <c r="BF29" s="4"/>
    </row>
    <row r="30" spans="2:60" ht="9" customHeight="1" x14ac:dyDescent="0.3">
      <c r="B30" s="5"/>
      <c r="M30" s="4"/>
      <c r="O30" s="5"/>
      <c r="BF30" s="4"/>
    </row>
    <row r="31" spans="2:60" ht="9" customHeight="1" x14ac:dyDescent="0.3">
      <c r="B31" s="5"/>
      <c r="M31" s="4"/>
      <c r="O31" s="5"/>
      <c r="BF31" s="4"/>
    </row>
    <row r="32" spans="2:60" ht="9" customHeight="1" x14ac:dyDescent="0.3">
      <c r="B32" s="5"/>
      <c r="M32" s="4"/>
      <c r="O32" s="5"/>
      <c r="BF32" s="4"/>
    </row>
    <row r="33" spans="2:58" ht="9" customHeight="1" x14ac:dyDescent="0.3">
      <c r="B33" s="5"/>
      <c r="M33" s="4"/>
      <c r="O33" s="5"/>
      <c r="BF33" s="4"/>
    </row>
    <row r="34" spans="2:58" ht="9" customHeight="1" x14ac:dyDescent="0.3">
      <c r="B34" s="5"/>
      <c r="M34" s="4"/>
      <c r="O34" s="5"/>
      <c r="BF34" s="4"/>
    </row>
    <row r="35" spans="2:58" ht="9" customHeight="1" x14ac:dyDescent="0.3">
      <c r="B35" s="5"/>
      <c r="M35" s="4"/>
      <c r="O35" s="5"/>
      <c r="BF35" s="4"/>
    </row>
    <row r="36" spans="2:58" ht="9" customHeight="1" x14ac:dyDescent="0.3">
      <c r="B36" s="5"/>
      <c r="M36" s="4"/>
      <c r="O36" s="5"/>
      <c r="BF36" s="4"/>
    </row>
    <row r="37" spans="2:58" ht="9" customHeight="1" x14ac:dyDescent="0.3">
      <c r="B37" s="5"/>
      <c r="M37" s="4"/>
      <c r="O37" s="5"/>
      <c r="BF37" s="4"/>
    </row>
    <row r="38" spans="2:58" ht="9" customHeight="1" x14ac:dyDescent="0.3">
      <c r="B38" s="5"/>
      <c r="M38" s="4"/>
      <c r="O38" s="5"/>
      <c r="BF38" s="4"/>
    </row>
    <row r="39" spans="2:58" ht="9" customHeight="1" x14ac:dyDescent="0.3">
      <c r="B39" s="5"/>
      <c r="M39" s="4"/>
      <c r="O39" s="5"/>
      <c r="BF39" s="4"/>
    </row>
    <row r="40" spans="2:58" ht="9" customHeight="1" x14ac:dyDescent="0.3">
      <c r="B40" s="5"/>
      <c r="M40" s="4"/>
      <c r="O40" s="5"/>
      <c r="BF40" s="4"/>
    </row>
    <row r="41" spans="2:58" ht="9" customHeight="1" thickBot="1" x14ac:dyDescent="0.35">
      <c r="B41" s="3"/>
      <c r="C41" s="2"/>
      <c r="D41" s="2"/>
      <c r="E41" s="2"/>
      <c r="F41" s="2"/>
      <c r="G41" s="2"/>
      <c r="H41" s="2"/>
      <c r="I41" s="2"/>
      <c r="J41" s="2"/>
      <c r="K41" s="2"/>
      <c r="L41" s="2"/>
      <c r="M41" s="1"/>
      <c r="O41" s="3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1"/>
    </row>
    <row r="42" spans="2:58" ht="9" customHeight="1" thickTop="1" x14ac:dyDescent="0.3"/>
  </sheetData>
  <mergeCells count="12">
    <mergeCell ref="O9:AH10"/>
    <mergeCell ref="AJ9:BF10"/>
    <mergeCell ref="O23:BF24"/>
    <mergeCell ref="B9:M10"/>
    <mergeCell ref="B17:M18"/>
    <mergeCell ref="B24:M25"/>
    <mergeCell ref="P2:AB5"/>
    <mergeCell ref="AE2:AQ5"/>
    <mergeCell ref="AT2:BF5"/>
    <mergeCell ref="P6:AA7"/>
    <mergeCell ref="AE6:AQ7"/>
    <mergeCell ref="AT6:BF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637009-38E8-4683-87D1-3A697926689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Base</vt:lpstr>
      <vt:lpstr>Cálculos</vt:lpstr>
      <vt:lpstr>Dashboard Filial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</dc:creator>
  <cp:lastModifiedBy>VINICIUS DE ALMEIDA SILVA</cp:lastModifiedBy>
  <dcterms:created xsi:type="dcterms:W3CDTF">2023-03-29T18:50:58Z</dcterms:created>
  <dcterms:modified xsi:type="dcterms:W3CDTF">2026-06-29T02:50:44Z</dcterms:modified>
</cp:coreProperties>
</file>